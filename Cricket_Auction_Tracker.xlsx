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ction" sheetId="1" state="visible" r:id="rId1"/>
    <sheet name="Balance" sheetId="2" state="visible" r:id="rId2"/>
    <sheet name="Summary" sheetId="3" state="visible" r:id="rId3"/>
    <sheet name="Mumbai Indians" sheetId="4" state="visible" r:id="rId4"/>
    <sheet name="Royal Challangers Banglore" sheetId="5" state="visible" r:id="rId5"/>
    <sheet name="Chennai Super Kings" sheetId="6" state="visible" r:id="rId6"/>
    <sheet name="Kolkata Knight Riders" sheetId="7" state="visible" r:id="rId7"/>
    <sheet name="Patna Panthers" sheetId="8" state="visible" r:id="rId8"/>
    <sheet name="Sunrisers Hydrabad" sheetId="9" state="visible" r:id="rId9"/>
    <sheet name="Delhi Capitals" sheetId="10" state="visible" r:id="rId10"/>
    <sheet name="Gujarat Titans" sheetId="11" state="visible" r:id="rId11"/>
    <sheet name="Lucknow Super Giants" sheetId="12" state="visible" r:id="rId12"/>
    <sheet name="Imphal Igniter" sheetId="13" state="visible" r:id="rId13"/>
    <sheet name="Punjab Kings" sheetId="14" state="visible" r:id="rId14"/>
    <sheet name="Rising Pune Super Giants" sheetId="15" state="visible" r:id="rId15"/>
    <sheet name="Rajasthan Royals" sheetId="16" state="visible" r:id="rId16"/>
    <sheet name="Kochi Tuskers" sheetId="17" state="visible" r:id="rId17"/>
    <sheet name="Guwahati Chargers" sheetId="18" state="visible" r:id="rId18"/>
    <sheet name="Players" sheetId="19" state="visible" r:id="rId19"/>
  </sheets>
  <definedNames>
    <definedName name="_xlnm._FilterDatabase" localSheetId="0" hidden="1">'Auction'!$A$4:$F$287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55555"/>
      <sz val="9"/>
    </font>
    <font>
      <b val="1"/>
      <color rgb="00FFFFFF"/>
    </font>
    <font>
      <b val="1"/>
    </font>
    <font>
      <b val="1"/>
      <color rgb="00FFFFFF"/>
      <sz val="15"/>
    </font>
    <font>
      <b val="1"/>
      <color rgb="002E7D32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  <fill>
      <patternFill patternType="solid">
        <fgColor rgb="002E5E8C"/>
      </patternFill>
    </fill>
    <fill>
      <patternFill patternType="solid">
        <fgColor rgb="00B8860B"/>
      </patternFill>
    </fill>
    <fill>
      <patternFill patternType="solid">
        <fgColor rgb="00DCE6F1"/>
      </patternFill>
    </fill>
    <fill>
      <patternFill patternType="solid">
        <fgColor rgb="00E3F2E4"/>
      </patternFill>
    </fill>
    <fill>
      <patternFill patternType="solid">
        <fgColor rgb="0055555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2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2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4" fillId="6" borderId="1" pivotButton="0" quotePrefix="0" xfId="0"/>
    <xf numFmtId="2" fontId="4" fillId="6" borderId="1" applyAlignment="1" pivotButton="0" quotePrefix="0" xfId="0">
      <alignment horizontal="right" vertical="center"/>
    </xf>
    <xf numFmtId="1" fontId="4" fillId="6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2" fontId="0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1" fontId="0" fillId="3" borderId="1" applyAlignment="1" pivotButton="0" quotePrefix="0" xfId="0">
      <alignment horizontal="right" vertical="center"/>
    </xf>
    <xf numFmtId="0" fontId="7" fillId="8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I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5" customWidth="1" min="4" max="4"/>
    <col width="11" customWidth="1" min="5" max="5"/>
    <col width="8" customWidth="1" min="6" max="6"/>
    <col width="16" customWidth="1" min="8" max="8"/>
    <col width="10" customWidth="1" min="9" max="9"/>
  </cols>
  <sheetData>
    <row r="1" ht="30" customHeight="1">
      <c r="A1" s="1" t="inlineStr">
        <is>
          <t>🏏  CRICKET AUCTION  —  MASTER LIST</t>
        </is>
      </c>
    </row>
    <row r="2" ht="28" customHeight="1">
      <c r="A2" s="2" t="inlineStr">
        <is>
          <t>Every player is listed below. For each SOLD player type the Price (CRORES: 1.20 = 1cr 20L) and pick the buying Team from the drop-down. Role / Base / Grade are pre-filled. Filter by Grade, Role or Team.</t>
        </is>
      </c>
    </row>
    <row r="4">
      <c r="A4" s="3" t="inlineStr">
        <is>
          <t>Player</t>
        </is>
      </c>
      <c r="B4" s="3" t="inlineStr">
        <is>
          <t>Price (Cr)</t>
        </is>
      </c>
      <c r="C4" s="3" t="inlineStr">
        <is>
          <t>Team</t>
        </is>
      </c>
      <c r="D4" s="3" t="inlineStr">
        <is>
          <t>Role</t>
        </is>
      </c>
      <c r="E4" s="3" t="inlineStr">
        <is>
          <t>Base (Cr)</t>
        </is>
      </c>
      <c r="F4" s="3" t="inlineStr">
        <is>
          <t>Grade</t>
        </is>
      </c>
      <c r="H4" s="4" t="inlineStr">
        <is>
          <t>Pool size</t>
        </is>
      </c>
      <c r="I4">
        <f>COUNTA(A5:A1000)</f>
        <v/>
      </c>
    </row>
    <row r="5">
      <c r="A5" s="5" t="inlineStr">
        <is>
          <t>Virat Kohli</t>
        </is>
      </c>
      <c r="B5" s="6" t="n">
        <v>27.5</v>
      </c>
      <c r="C5" s="7" t="inlineStr">
        <is>
          <t>Imphal Igniter</t>
        </is>
      </c>
      <c r="D5" s="7">
        <f>IFERROR(T(VLOOKUP($A5,Players!$A:$E,2,FALSE)),"")</f>
        <v/>
      </c>
      <c r="E5" s="6" t="n">
        <v>3</v>
      </c>
      <c r="F5" s="7" t="inlineStr">
        <is>
          <t>A</t>
        </is>
      </c>
      <c r="H5" s="4" t="inlineStr">
        <is>
          <t>Players sold</t>
        </is>
      </c>
      <c r="I5">
        <f>COUNTA(C5:C1000)</f>
        <v/>
      </c>
    </row>
    <row r="6">
      <c r="A6" s="8" t="inlineStr">
        <is>
          <t>Sai Sudharsan</t>
        </is>
      </c>
      <c r="B6" s="9" t="n">
        <v>23.5</v>
      </c>
      <c r="C6" s="10" t="inlineStr">
        <is>
          <t>Gujarat Titans</t>
        </is>
      </c>
      <c r="D6" s="10">
        <f>IFERROR(T(VLOOKUP($A6,Players!$A:$E,2,FALSE)),"")</f>
        <v/>
      </c>
      <c r="E6" s="9" t="n">
        <v>3</v>
      </c>
      <c r="F6" s="10" t="inlineStr">
        <is>
          <t>A</t>
        </is>
      </c>
      <c r="H6" s="4" t="inlineStr">
        <is>
          <t>Total spend (Cr)</t>
        </is>
      </c>
      <c r="I6" s="11">
        <f>SUM(B5:B1000)</f>
        <v/>
      </c>
    </row>
    <row r="7">
      <c r="A7" s="5" t="inlineStr">
        <is>
          <t>Suryakumar Yadav</t>
        </is>
      </c>
      <c r="B7" s="6" t="n">
        <v>21.5</v>
      </c>
      <c r="C7" s="7" t="inlineStr">
        <is>
          <t>Patna Panthers</t>
        </is>
      </c>
      <c r="D7" s="7">
        <f>IFERROR(T(VLOOKUP($A7,Players!$A:$E,2,FALSE)),"")</f>
        <v/>
      </c>
      <c r="E7" s="6" t="n">
        <v>3</v>
      </c>
      <c r="F7" s="7" t="inlineStr">
        <is>
          <t>A</t>
        </is>
      </c>
    </row>
    <row r="8">
      <c r="A8" s="8" t="inlineStr">
        <is>
          <t>Shubman Gill</t>
        </is>
      </c>
      <c r="B8" s="9" t="n">
        <v>28</v>
      </c>
      <c r="C8" s="10" t="inlineStr">
        <is>
          <t>Punjab Kings</t>
        </is>
      </c>
      <c r="D8" s="10">
        <f>IFERROR(T(VLOOKUP($A8,Players!$A:$E,2,FALSE)),"")</f>
        <v/>
      </c>
      <c r="E8" s="9" t="n">
        <v>3</v>
      </c>
      <c r="F8" s="10" t="inlineStr">
        <is>
          <t>A</t>
        </is>
      </c>
    </row>
    <row r="9">
      <c r="A9" s="5" t="inlineStr">
        <is>
          <t>Nicholas Pooran</t>
        </is>
      </c>
      <c r="B9" s="6" t="n"/>
      <c r="C9" s="7" t="n"/>
      <c r="D9" s="7">
        <f>IFERROR(T(VLOOKUP($A9,Players!$A:$E,2,FALSE)),"")</f>
        <v/>
      </c>
      <c r="E9" s="6" t="n">
        <v>3</v>
      </c>
      <c r="F9" s="7" t="inlineStr">
        <is>
          <t>A</t>
        </is>
      </c>
    </row>
    <row r="10">
      <c r="A10" s="8" t="inlineStr">
        <is>
          <t>Travis Head</t>
        </is>
      </c>
      <c r="B10" s="9" t="n"/>
      <c r="C10" s="10" t="n"/>
      <c r="D10" s="10">
        <f>IFERROR(T(VLOOKUP($A10,Players!$A:$E,2,FALSE)),"")</f>
        <v/>
      </c>
      <c r="E10" s="9" t="n">
        <v>3</v>
      </c>
      <c r="F10" s="10" t="inlineStr">
        <is>
          <t>A</t>
        </is>
      </c>
    </row>
    <row r="11">
      <c r="A11" s="5" t="inlineStr">
        <is>
          <t>Abhishek Sharma</t>
        </is>
      </c>
      <c r="B11" s="6" t="n">
        <v>16</v>
      </c>
      <c r="C11" s="7" t="inlineStr">
        <is>
          <t>Lucknow Super Giants</t>
        </is>
      </c>
      <c r="D11" s="7">
        <f>IFERROR(T(VLOOKUP($A11,Players!$A:$E,2,FALSE)),"")</f>
        <v/>
      </c>
      <c r="E11" s="6" t="n">
        <v>3</v>
      </c>
      <c r="F11" s="7" t="inlineStr">
        <is>
          <t>A</t>
        </is>
      </c>
    </row>
    <row r="12">
      <c r="A12" s="8" t="inlineStr">
        <is>
          <t>Yashasvi Jaiswal</t>
        </is>
      </c>
      <c r="B12" s="9" t="n"/>
      <c r="C12" s="10" t="n"/>
      <c r="D12" s="10">
        <f>IFERROR(T(VLOOKUP($A12,Players!$A:$E,2,FALSE)),"")</f>
        <v/>
      </c>
      <c r="E12" s="9" t="n">
        <v>3</v>
      </c>
      <c r="F12" s="10" t="inlineStr">
        <is>
          <t>A</t>
        </is>
      </c>
    </row>
    <row r="13">
      <c r="A13" s="5" t="inlineStr">
        <is>
          <t>Phil Salt</t>
        </is>
      </c>
      <c r="B13" s="6" t="n"/>
      <c r="C13" s="7" t="n"/>
      <c r="D13" s="7">
        <f>IFERROR(T(VLOOKUP($A13,Players!$A:$E,2,FALSE)),"")</f>
        <v/>
      </c>
      <c r="E13" s="6" t="n">
        <v>3</v>
      </c>
      <c r="F13" s="7" t="inlineStr">
        <is>
          <t>A</t>
        </is>
      </c>
    </row>
    <row r="14">
      <c r="A14" s="8" t="inlineStr">
        <is>
          <t>Vaibhav Suryavanshi</t>
        </is>
      </c>
      <c r="B14" s="9" t="n">
        <v>16.5</v>
      </c>
      <c r="C14" s="10" t="inlineStr">
        <is>
          <t>Kolkata Knight Riders</t>
        </is>
      </c>
      <c r="D14" s="10">
        <f>IFERROR(T(VLOOKUP($A14,Players!$A:$E,2,FALSE)),"")</f>
        <v/>
      </c>
      <c r="E14" s="9" t="n">
        <v>3</v>
      </c>
      <c r="F14" s="10" t="inlineStr">
        <is>
          <t>A</t>
        </is>
      </c>
    </row>
    <row r="15">
      <c r="A15" s="5" t="inlineStr">
        <is>
          <t>Jasprit Bumrah</t>
        </is>
      </c>
      <c r="B15" s="6" t="n">
        <v>24.25</v>
      </c>
      <c r="C15" s="7" t="inlineStr">
        <is>
          <t>Rising Pune Super Giants</t>
        </is>
      </c>
      <c r="D15" s="7">
        <f>IFERROR(T(VLOOKUP($A15,Players!$A:$E,2,FALSE)),"")</f>
        <v/>
      </c>
      <c r="E15" s="6" t="n">
        <v>3</v>
      </c>
      <c r="F15" s="7" t="inlineStr">
        <is>
          <t>A</t>
        </is>
      </c>
    </row>
    <row r="16">
      <c r="A16" s="8" t="inlineStr">
        <is>
          <t>Arshdeep Singh</t>
        </is>
      </c>
      <c r="B16" s="9" t="n"/>
      <c r="C16" s="10" t="n"/>
      <c r="D16" s="10">
        <f>IFERROR(T(VLOOKUP($A16,Players!$A:$E,2,FALSE)),"")</f>
        <v/>
      </c>
      <c r="E16" s="9" t="n">
        <v>3</v>
      </c>
      <c r="F16" s="10" t="inlineStr">
        <is>
          <t>A</t>
        </is>
      </c>
    </row>
    <row r="17">
      <c r="A17" s="5" t="inlineStr">
        <is>
          <t>Mohammed Siraj</t>
        </is>
      </c>
      <c r="B17" s="6" t="n">
        <v>14.5</v>
      </c>
      <c r="C17" s="7" t="inlineStr">
        <is>
          <t>Sunrisers Hydrabad</t>
        </is>
      </c>
      <c r="D17" s="7">
        <f>IFERROR(T(VLOOKUP($A17,Players!$A:$E,2,FALSE)),"")</f>
        <v/>
      </c>
      <c r="E17" s="6" t="n">
        <v>3</v>
      </c>
      <c r="F17" s="7" t="inlineStr">
        <is>
          <t>A</t>
        </is>
      </c>
    </row>
    <row r="18">
      <c r="A18" s="8" t="inlineStr">
        <is>
          <t>Varun Chakaravarthy</t>
        </is>
      </c>
      <c r="B18" s="9" t="n"/>
      <c r="C18" s="10" t="n"/>
      <c r="D18" s="10">
        <f>IFERROR(T(VLOOKUP($A18,Players!$A:$E,2,FALSE)),"")</f>
        <v/>
      </c>
      <c r="E18" s="9" t="n">
        <v>3</v>
      </c>
      <c r="F18" s="10" t="inlineStr">
        <is>
          <t>A</t>
        </is>
      </c>
    </row>
    <row r="19">
      <c r="A19" s="5" t="inlineStr">
        <is>
          <t>Harshal Patel</t>
        </is>
      </c>
      <c r="B19" s="6" t="n"/>
      <c r="C19" s="7" t="n"/>
      <c r="D19" s="7">
        <f>IFERROR(T(VLOOKUP($A19,Players!$A:$E,2,FALSE)),"")</f>
        <v/>
      </c>
      <c r="E19" s="6" t="n">
        <v>3</v>
      </c>
      <c r="F19" s="7" t="inlineStr">
        <is>
          <t>A</t>
        </is>
      </c>
    </row>
    <row r="20">
      <c r="A20" s="8" t="inlineStr">
        <is>
          <t>Noor Ahmad</t>
        </is>
      </c>
      <c r="B20" s="9" t="n"/>
      <c r="C20" s="10" t="n"/>
      <c r="D20" s="10">
        <f>IFERROR(T(VLOOKUP($A20,Players!$A:$E,2,FALSE)),"")</f>
        <v/>
      </c>
      <c r="E20" s="9" t="n">
        <v>3</v>
      </c>
      <c r="F20" s="10" t="inlineStr">
        <is>
          <t>A</t>
        </is>
      </c>
    </row>
    <row r="21">
      <c r="A21" s="5" t="inlineStr">
        <is>
          <t>Mitchell Starc</t>
        </is>
      </c>
      <c r="B21" s="6" t="n">
        <v>13</v>
      </c>
      <c r="C21" s="7" t="inlineStr">
        <is>
          <t>Punjab Kings</t>
        </is>
      </c>
      <c r="D21" s="7">
        <f>IFERROR(T(VLOOKUP($A21,Players!$A:$E,2,FALSE)),"")</f>
        <v/>
      </c>
      <c r="E21" s="6" t="n">
        <v>3</v>
      </c>
      <c r="F21" s="7" t="inlineStr">
        <is>
          <t>A</t>
        </is>
      </c>
    </row>
    <row r="22">
      <c r="A22" s="8" t="inlineStr">
        <is>
          <t>Trent Boult</t>
        </is>
      </c>
      <c r="B22" s="9" t="n"/>
      <c r="C22" s="10" t="n"/>
      <c r="D22" s="10">
        <f>IFERROR(T(VLOOKUP($A22,Players!$A:$E,2,FALSE)),"")</f>
        <v/>
      </c>
      <c r="E22" s="9" t="n">
        <v>3</v>
      </c>
      <c r="F22" s="10" t="inlineStr">
        <is>
          <t>A</t>
        </is>
      </c>
    </row>
    <row r="23">
      <c r="A23" s="5" t="inlineStr">
        <is>
          <t>Josh Hazlewood</t>
        </is>
      </c>
      <c r="B23" s="6" t="n"/>
      <c r="C23" s="7" t="n"/>
      <c r="D23" s="7">
        <f>IFERROR(T(VLOOKUP($A23,Players!$A:$E,2,FALSE)),"")</f>
        <v/>
      </c>
      <c r="E23" s="6" t="n">
        <v>3</v>
      </c>
      <c r="F23" s="7" t="inlineStr">
        <is>
          <t>A</t>
        </is>
      </c>
    </row>
    <row r="24">
      <c r="A24" s="8" t="inlineStr">
        <is>
          <t>Kagiso Rabada</t>
        </is>
      </c>
      <c r="B24" s="9" t="n">
        <v>22</v>
      </c>
      <c r="C24" s="10" t="inlineStr">
        <is>
          <t>Kochi Tuskers</t>
        </is>
      </c>
      <c r="D24" s="10">
        <f>IFERROR(T(VLOOKUP($A24,Players!$A:$E,2,FALSE)),"")</f>
        <v/>
      </c>
      <c r="E24" s="9" t="n">
        <v>3</v>
      </c>
      <c r="F24" s="10" t="inlineStr">
        <is>
          <t>A</t>
        </is>
      </c>
    </row>
    <row r="25">
      <c r="A25" s="5" t="inlineStr">
        <is>
          <t>Hardik Pandya</t>
        </is>
      </c>
      <c r="B25" s="6" t="n">
        <v>26</v>
      </c>
      <c r="C25" s="7" t="inlineStr">
        <is>
          <t>Guwahati Chargers</t>
        </is>
      </c>
      <c r="D25" s="7">
        <f>IFERROR(T(VLOOKUP($A25,Players!$A:$E,2,FALSE)),"")</f>
        <v/>
      </c>
      <c r="E25" s="6" t="n">
        <v>3</v>
      </c>
      <c r="F25" s="7" t="inlineStr">
        <is>
          <t>A</t>
        </is>
      </c>
    </row>
    <row r="26">
      <c r="A26" s="8" t="inlineStr">
        <is>
          <t>Sunil Narine</t>
        </is>
      </c>
      <c r="B26" s="9" t="n"/>
      <c r="C26" s="10" t="n"/>
      <c r="D26" s="10">
        <f>IFERROR(T(VLOOKUP($A26,Players!$A:$E,2,FALSE)),"")</f>
        <v/>
      </c>
      <c r="E26" s="9" t="n">
        <v>3</v>
      </c>
      <c r="F26" s="10" t="inlineStr">
        <is>
          <t>A</t>
        </is>
      </c>
    </row>
    <row r="27">
      <c r="A27" s="5" t="inlineStr">
        <is>
          <t>Andre Russell</t>
        </is>
      </c>
      <c r="B27" s="6" t="n"/>
      <c r="C27" s="7" t="n"/>
      <c r="D27" s="7">
        <f>IFERROR(T(VLOOKUP($A27,Players!$A:$E,2,FALSE)),"")</f>
        <v/>
      </c>
      <c r="E27" s="6" t="n">
        <v>3</v>
      </c>
      <c r="F27" s="7" t="inlineStr">
        <is>
          <t>A</t>
        </is>
      </c>
    </row>
    <row r="28">
      <c r="A28" s="8" t="inlineStr">
        <is>
          <t>Ravindra Jadeja</t>
        </is>
      </c>
      <c r="B28" s="9" t="n"/>
      <c r="C28" s="10" t="n"/>
      <c r="D28" s="10">
        <f>IFERROR(T(VLOOKUP($A28,Players!$A:$E,2,FALSE)),"")</f>
        <v/>
      </c>
      <c r="E28" s="9" t="n">
        <v>3</v>
      </c>
      <c r="F28" s="10" t="inlineStr">
        <is>
          <t>A</t>
        </is>
      </c>
    </row>
    <row r="29">
      <c r="A29" s="5" t="inlineStr">
        <is>
          <t>Axar Patel</t>
        </is>
      </c>
      <c r="B29" s="6" t="n"/>
      <c r="C29" s="7" t="n"/>
      <c r="D29" s="7">
        <f>IFERROR(T(VLOOKUP($A29,Players!$A:$E,2,FALSE)),"")</f>
        <v/>
      </c>
      <c r="E29" s="6" t="n">
        <v>3</v>
      </c>
      <c r="F29" s="7" t="inlineStr">
        <is>
          <t>A</t>
        </is>
      </c>
    </row>
    <row r="30">
      <c r="A30" s="8" t="inlineStr">
        <is>
          <t>Krunal Pandya</t>
        </is>
      </c>
      <c r="B30" s="9" t="n"/>
      <c r="C30" s="10" t="n"/>
      <c r="D30" s="10">
        <f>IFERROR(T(VLOOKUP($A30,Players!$A:$E,2,FALSE)),"")</f>
        <v/>
      </c>
      <c r="E30" s="9" t="n">
        <v>3</v>
      </c>
      <c r="F30" s="10" t="inlineStr">
        <is>
          <t>A</t>
        </is>
      </c>
    </row>
    <row r="31">
      <c r="A31" s="5" t="inlineStr">
        <is>
          <t>Nitish Kumar Reddy</t>
        </is>
      </c>
      <c r="B31" s="6" t="n"/>
      <c r="C31" s="7" t="n"/>
      <c r="D31" s="7">
        <f>IFERROR(T(VLOOKUP($A31,Players!$A:$E,2,FALSE)),"")</f>
        <v/>
      </c>
      <c r="E31" s="6" t="n">
        <v>3</v>
      </c>
      <c r="F31" s="7" t="inlineStr">
        <is>
          <t>A</t>
        </is>
      </c>
    </row>
    <row r="32">
      <c r="A32" s="8" t="inlineStr">
        <is>
          <t>Marcus Stoinis</t>
        </is>
      </c>
      <c r="B32" s="9" t="n"/>
      <c r="C32" s="10" t="n"/>
      <c r="D32" s="10">
        <f>IFERROR(T(VLOOKUP($A32,Players!$A:$E,2,FALSE)),"")</f>
        <v/>
      </c>
      <c r="E32" s="9" t="n">
        <v>3</v>
      </c>
      <c r="F32" s="10" t="inlineStr">
        <is>
          <t>A</t>
        </is>
      </c>
    </row>
    <row r="33">
      <c r="A33" s="5" t="inlineStr">
        <is>
          <t>Washington Sundar</t>
        </is>
      </c>
      <c r="B33" s="6" t="n"/>
      <c r="C33" s="7" t="n"/>
      <c r="D33" s="7">
        <f>IFERROR(T(VLOOKUP($A33,Players!$A:$E,2,FALSE)),"")</f>
        <v/>
      </c>
      <c r="E33" s="6" t="n">
        <v>3</v>
      </c>
      <c r="F33" s="7" t="inlineStr">
        <is>
          <t>A</t>
        </is>
      </c>
    </row>
    <row r="34">
      <c r="A34" s="8" t="inlineStr">
        <is>
          <t>Cameron Green</t>
        </is>
      </c>
      <c r="B34" s="9" t="n"/>
      <c r="C34" s="10" t="n"/>
      <c r="D34" s="10">
        <f>IFERROR(T(VLOOKUP($A34,Players!$A:$E,2,FALSE)),"")</f>
        <v/>
      </c>
      <c r="E34" s="9" t="n">
        <v>3</v>
      </c>
      <c r="F34" s="10" t="inlineStr">
        <is>
          <t>A</t>
        </is>
      </c>
    </row>
    <row r="35">
      <c r="A35" s="5" t="inlineStr">
        <is>
          <t>Sanju Samson</t>
        </is>
      </c>
      <c r="B35" s="6" t="n">
        <v>19.5</v>
      </c>
      <c r="C35" s="7" t="inlineStr">
        <is>
          <t>Lucknow Super Giants</t>
        </is>
      </c>
      <c r="D35" s="7">
        <f>IFERROR(T(VLOOKUP($A35,Players!$A:$E,2,FALSE)),"")</f>
        <v/>
      </c>
      <c r="E35" s="6" t="n">
        <v>3</v>
      </c>
      <c r="F35" s="7" t="inlineStr">
        <is>
          <t>A</t>
        </is>
      </c>
    </row>
    <row r="36">
      <c r="A36" s="8" t="inlineStr">
        <is>
          <t>Rishabh Pant</t>
        </is>
      </c>
      <c r="B36" s="9" t="n">
        <v>17</v>
      </c>
      <c r="C36" s="10" t="inlineStr">
        <is>
          <t>Guwahati Chargers</t>
        </is>
      </c>
      <c r="D36" s="10">
        <f>IFERROR(T(VLOOKUP($A36,Players!$A:$E,2,FALSE)),"")</f>
        <v/>
      </c>
      <c r="E36" s="9" t="n">
        <v>3</v>
      </c>
      <c r="F36" s="10" t="inlineStr">
        <is>
          <t>A</t>
        </is>
      </c>
    </row>
    <row r="37">
      <c r="A37" s="5" t="inlineStr">
        <is>
          <t>KL Rahul</t>
        </is>
      </c>
      <c r="B37" s="6" t="n">
        <v>29</v>
      </c>
      <c r="C37" s="7" t="inlineStr">
        <is>
          <t>Sunrisers Hydrabad</t>
        </is>
      </c>
      <c r="D37" s="7">
        <f>IFERROR(T(VLOOKUP($A37,Players!$A:$E,2,FALSE)),"")</f>
        <v/>
      </c>
      <c r="E37" s="6" t="n">
        <v>3</v>
      </c>
      <c r="F37" s="7" t="inlineStr">
        <is>
          <t>A</t>
        </is>
      </c>
    </row>
    <row r="38">
      <c r="A38" s="8" t="inlineStr">
        <is>
          <t>Ishan Kishan</t>
        </is>
      </c>
      <c r="B38" s="9" t="n">
        <v>24.5</v>
      </c>
      <c r="C38" s="10" t="inlineStr">
        <is>
          <t>Gujarat Titans</t>
        </is>
      </c>
      <c r="D38" s="10">
        <f>IFERROR(T(VLOOKUP($A38,Players!$A:$E,2,FALSE)),"")</f>
        <v/>
      </c>
      <c r="E38" s="9" t="n">
        <v>3</v>
      </c>
      <c r="F38" s="10" t="inlineStr">
        <is>
          <t>A</t>
        </is>
      </c>
    </row>
    <row r="39">
      <c r="A39" s="5" t="inlineStr">
        <is>
          <t>Jitesh Sharma</t>
        </is>
      </c>
      <c r="B39" s="6" t="n">
        <v>10.25</v>
      </c>
      <c r="C39" s="7" t="inlineStr">
        <is>
          <t>Punjab Kings</t>
        </is>
      </c>
      <c r="D39" s="7">
        <f>IFERROR(T(VLOOKUP($A39,Players!$A:$E,2,FALSE)),"")</f>
        <v/>
      </c>
      <c r="E39" s="6" t="n">
        <v>3</v>
      </c>
      <c r="F39" s="7" t="inlineStr">
        <is>
          <t>A</t>
        </is>
      </c>
    </row>
    <row r="40">
      <c r="A40" s="8" t="inlineStr">
        <is>
          <t>Heinrich Klaasen</t>
        </is>
      </c>
      <c r="B40" s="9" t="n">
        <v>30</v>
      </c>
      <c r="C40" s="10" t="inlineStr">
        <is>
          <t>Kochi Tuskers</t>
        </is>
      </c>
      <c r="D40" s="10">
        <f>IFERROR(T(VLOOKUP($A40,Players!$A:$E,2,FALSE)),"")</f>
        <v/>
      </c>
      <c r="E40" s="9" t="n">
        <v>3</v>
      </c>
      <c r="F40" s="10" t="inlineStr">
        <is>
          <t>A</t>
        </is>
      </c>
    </row>
    <row r="41">
      <c r="A41" s="5" t="inlineStr">
        <is>
          <t>Ruturaj Gaikwad</t>
        </is>
      </c>
      <c r="B41" s="6" t="n">
        <v>18.5</v>
      </c>
      <c r="C41" s="7" t="inlineStr">
        <is>
          <t>Chennai Super Kings</t>
        </is>
      </c>
      <c r="D41" s="7">
        <f>IFERROR(T(VLOOKUP($A41,Players!$A:$E,2,FALSE)),"")</f>
        <v/>
      </c>
      <c r="E41" s="6" t="n">
        <v>2</v>
      </c>
      <c r="F41" s="7" t="inlineStr">
        <is>
          <t>B</t>
        </is>
      </c>
    </row>
    <row r="42">
      <c r="A42" s="8" t="inlineStr">
        <is>
          <t>Devdutt Padikkal</t>
        </is>
      </c>
      <c r="B42" s="9" t="n">
        <v>19.5</v>
      </c>
      <c r="C42" s="10" t="inlineStr">
        <is>
          <t>Kolkata Knight Riders</t>
        </is>
      </c>
      <c r="D42" s="10">
        <f>IFERROR(T(VLOOKUP($A42,Players!$A:$E,2,FALSE)),"")</f>
        <v/>
      </c>
      <c r="E42" s="9" t="n">
        <v>2</v>
      </c>
      <c r="F42" s="10" t="inlineStr">
        <is>
          <t>B</t>
        </is>
      </c>
    </row>
    <row r="43">
      <c r="A43" s="5" t="inlineStr">
        <is>
          <t>Tilak Varma</t>
        </is>
      </c>
      <c r="B43" s="6" t="n">
        <v>22.5</v>
      </c>
      <c r="C43" s="7" t="inlineStr">
        <is>
          <t>Royal Challangers Banglore</t>
        </is>
      </c>
      <c r="D43" s="7">
        <f>IFERROR(T(VLOOKUP($A43,Players!$A:$E,2,FALSE)),"")</f>
        <v/>
      </c>
      <c r="E43" s="6" t="n">
        <v>2</v>
      </c>
      <c r="F43" s="7" t="inlineStr">
        <is>
          <t>B</t>
        </is>
      </c>
    </row>
    <row r="44">
      <c r="A44" s="8" t="inlineStr">
        <is>
          <t>Nehal Wadhera</t>
        </is>
      </c>
      <c r="B44" s="9" t="n">
        <v>6</v>
      </c>
      <c r="C44" s="10" t="inlineStr">
        <is>
          <t>Guwahati Chargers</t>
        </is>
      </c>
      <c r="D44" s="10">
        <f>IFERROR(T(VLOOKUP($A44,Players!$A:$E,2,FALSE)),"")</f>
        <v/>
      </c>
      <c r="E44" s="9" t="n">
        <v>2</v>
      </c>
      <c r="F44" s="10" t="inlineStr">
        <is>
          <t>B</t>
        </is>
      </c>
    </row>
    <row r="45">
      <c r="A45" s="5" t="inlineStr">
        <is>
          <t>Rinku Singh</t>
        </is>
      </c>
      <c r="B45" s="6" t="n">
        <v>14.5</v>
      </c>
      <c r="C45" s="7" t="inlineStr">
        <is>
          <t>Gujarat Titans</t>
        </is>
      </c>
      <c r="D45" s="7">
        <f>IFERROR(T(VLOOKUP($A45,Players!$A:$E,2,FALSE)),"")</f>
        <v/>
      </c>
      <c r="E45" s="6" t="n">
        <v>2</v>
      </c>
      <c r="F45" s="7" t="inlineStr">
        <is>
          <t>B</t>
        </is>
      </c>
    </row>
    <row r="46">
      <c r="A46" s="8" t="inlineStr">
        <is>
          <t>Ajinkya Rahane</t>
        </is>
      </c>
      <c r="B46" s="9" t="n">
        <v>8.75</v>
      </c>
      <c r="C46" s="10" t="inlineStr">
        <is>
          <t>Rajasthan Royals</t>
        </is>
      </c>
      <c r="D46" s="10">
        <f>IFERROR(T(VLOOKUP($A46,Players!$A:$E,2,FALSE)),"")</f>
        <v/>
      </c>
      <c r="E46" s="9" t="n">
        <v>2</v>
      </c>
      <c r="F46" s="10" t="inlineStr">
        <is>
          <t>B</t>
        </is>
      </c>
    </row>
    <row r="47">
      <c r="A47" s="5" t="inlineStr">
        <is>
          <t>Rahul Tripathi</t>
        </is>
      </c>
      <c r="B47" s="6" t="n">
        <v>7.25</v>
      </c>
      <c r="C47" s="7" t="inlineStr">
        <is>
          <t>Patna Panthers</t>
        </is>
      </c>
      <c r="D47" s="7">
        <f>IFERROR(T(VLOOKUP($A47,Players!$A:$E,2,FALSE)),"")</f>
        <v/>
      </c>
      <c r="E47" s="6" t="n">
        <v>2</v>
      </c>
      <c r="F47" s="7" t="inlineStr">
        <is>
          <t>B</t>
        </is>
      </c>
    </row>
    <row r="48">
      <c r="A48" s="8" t="inlineStr">
        <is>
          <t>Angkrish Raghuvanshi</t>
        </is>
      </c>
      <c r="B48" s="9" t="n">
        <v>12.5</v>
      </c>
      <c r="C48" s="10" t="inlineStr">
        <is>
          <t>Sunrisers Hydrabad</t>
        </is>
      </c>
      <c r="D48" s="10">
        <f>IFERROR(T(VLOOKUP($A48,Players!$A:$E,2,FALSE)),"")</f>
        <v/>
      </c>
      <c r="E48" s="9" t="n">
        <v>2</v>
      </c>
      <c r="F48" s="10" t="inlineStr">
        <is>
          <t>B</t>
        </is>
      </c>
    </row>
    <row r="49">
      <c r="A49" s="5" t="inlineStr">
        <is>
          <t>Ashutosh Sharma</t>
        </is>
      </c>
      <c r="B49" s="6" t="n">
        <v>10.5</v>
      </c>
      <c r="C49" s="7" t="inlineStr">
        <is>
          <t>Kolkata Knight Riders</t>
        </is>
      </c>
      <c r="D49" s="7">
        <f>IFERROR(T(VLOOKUP($A49,Players!$A:$E,2,FALSE)),"")</f>
        <v/>
      </c>
      <c r="E49" s="6" t="n">
        <v>2</v>
      </c>
      <c r="F49" s="7" t="inlineStr">
        <is>
          <t>B</t>
        </is>
      </c>
    </row>
    <row r="50">
      <c r="A50" s="8" t="inlineStr">
        <is>
          <t>Priyansh Arya</t>
        </is>
      </c>
      <c r="B50" s="9" t="n">
        <v>16.5</v>
      </c>
      <c r="C50" s="10" t="inlineStr">
        <is>
          <t>Rajasthan Royals</t>
        </is>
      </c>
      <c r="D50" s="10">
        <f>IFERROR(T(VLOOKUP($A50,Players!$A:$E,2,FALSE)),"")</f>
        <v/>
      </c>
      <c r="E50" s="9" t="n">
        <v>2</v>
      </c>
      <c r="F50" s="10" t="inlineStr">
        <is>
          <t>B</t>
        </is>
      </c>
    </row>
    <row r="51">
      <c r="A51" s="5" t="inlineStr">
        <is>
          <t>Karun Nair</t>
        </is>
      </c>
      <c r="B51" s="6" t="n">
        <v>5.75</v>
      </c>
      <c r="C51" s="7" t="inlineStr">
        <is>
          <t>Mumbai Indians</t>
        </is>
      </c>
      <c r="D51" s="7">
        <f>IFERROR(T(VLOOKUP($A51,Players!$A:$E,2,FALSE)),"")</f>
        <v/>
      </c>
      <c r="E51" s="6" t="n">
        <v>2</v>
      </c>
      <c r="F51" s="7" t="inlineStr">
        <is>
          <t>B</t>
        </is>
      </c>
    </row>
    <row r="52">
      <c r="A52" s="8" t="inlineStr">
        <is>
          <t>Sameer Rizvi</t>
        </is>
      </c>
      <c r="B52" s="9" t="n">
        <v>8.75</v>
      </c>
      <c r="C52" s="10" t="inlineStr">
        <is>
          <t>Kolkata Knight Riders</t>
        </is>
      </c>
      <c r="D52" s="10">
        <f>IFERROR(T(VLOOKUP($A52,Players!$A:$E,2,FALSE)),"")</f>
        <v/>
      </c>
      <c r="E52" s="9" t="n">
        <v>2</v>
      </c>
      <c r="F52" s="10" t="inlineStr">
        <is>
          <t>B</t>
        </is>
      </c>
    </row>
    <row r="53">
      <c r="A53" s="5" t="inlineStr">
        <is>
          <t>Sherfane Rutherford</t>
        </is>
      </c>
      <c r="B53" s="6" t="n"/>
      <c r="C53" s="7" t="n"/>
      <c r="D53" s="7">
        <f>IFERROR(T(VLOOKUP($A53,Players!$A:$E,2,FALSE)),"")</f>
        <v/>
      </c>
      <c r="E53" s="6" t="n">
        <v>2</v>
      </c>
      <c r="F53" s="7" t="inlineStr">
        <is>
          <t>B</t>
        </is>
      </c>
    </row>
    <row r="54">
      <c r="A54" s="8" t="inlineStr">
        <is>
          <t>Dewald Brevis</t>
        </is>
      </c>
      <c r="B54" s="9" t="n">
        <v>10</v>
      </c>
      <c r="C54" s="10" t="inlineStr">
        <is>
          <t>Lucknow Super Giants</t>
        </is>
      </c>
      <c r="D54" s="10">
        <f>IFERROR(T(VLOOKUP($A54,Players!$A:$E,2,FALSE)),"")</f>
        <v/>
      </c>
      <c r="E54" s="9" t="n">
        <v>2</v>
      </c>
      <c r="F54" s="10" t="inlineStr">
        <is>
          <t>B</t>
        </is>
      </c>
    </row>
    <row r="55">
      <c r="A55" s="5" t="inlineStr">
        <is>
          <t>Tim David</t>
        </is>
      </c>
      <c r="B55" s="6" t="n"/>
      <c r="C55" s="7" t="n"/>
      <c r="D55" s="7">
        <f>IFERROR(T(VLOOKUP($A55,Players!$A:$E,2,FALSE)),"")</f>
        <v/>
      </c>
      <c r="E55" s="6" t="n">
        <v>2</v>
      </c>
      <c r="F55" s="7" t="inlineStr">
        <is>
          <t>B</t>
        </is>
      </c>
    </row>
    <row r="56">
      <c r="A56" s="8" t="inlineStr">
        <is>
          <t>Faf du Plessis</t>
        </is>
      </c>
      <c r="B56" s="9" t="n">
        <v>12.5</v>
      </c>
      <c r="C56" s="10" t="inlineStr">
        <is>
          <t>Delhi Capitals</t>
        </is>
      </c>
      <c r="D56" s="10">
        <f>IFERROR(T(VLOOKUP($A56,Players!$A:$E,2,FALSE)),"")</f>
        <v/>
      </c>
      <c r="E56" s="9" t="n">
        <v>2</v>
      </c>
      <c r="F56" s="10" t="inlineStr">
        <is>
          <t>B</t>
        </is>
      </c>
    </row>
    <row r="57">
      <c r="A57" s="5" t="inlineStr">
        <is>
          <t>David Miller</t>
        </is>
      </c>
      <c r="B57" s="6" t="n"/>
      <c r="C57" s="7" t="n"/>
      <c r="D57" s="7">
        <f>IFERROR(T(VLOOKUP($A57,Players!$A:$E,2,FALSE)),"")</f>
        <v/>
      </c>
      <c r="E57" s="6" t="n">
        <v>2</v>
      </c>
      <c r="F57" s="7" t="inlineStr">
        <is>
          <t>B</t>
        </is>
      </c>
    </row>
    <row r="58">
      <c r="A58" s="8" t="inlineStr">
        <is>
          <t>Rovman Powell</t>
        </is>
      </c>
      <c r="B58" s="9" t="n"/>
      <c r="C58" s="10" t="n"/>
      <c r="D58" s="10">
        <f>IFERROR(T(VLOOKUP($A58,Players!$A:$E,2,FALSE)),"")</f>
        <v/>
      </c>
      <c r="E58" s="9" t="n">
        <v>2</v>
      </c>
      <c r="F58" s="10" t="inlineStr">
        <is>
          <t>B</t>
        </is>
      </c>
    </row>
    <row r="59">
      <c r="A59" s="5" t="inlineStr">
        <is>
          <t>Shimron Hetmyer</t>
        </is>
      </c>
      <c r="B59" s="6" t="n"/>
      <c r="C59" s="7" t="n"/>
      <c r="D59" s="7">
        <f>IFERROR(T(VLOOKUP($A59,Players!$A:$E,2,FALSE)),"")</f>
        <v/>
      </c>
      <c r="E59" s="6" t="n">
        <v>2</v>
      </c>
      <c r="F59" s="7" t="inlineStr">
        <is>
          <t>B</t>
        </is>
      </c>
    </row>
    <row r="60">
      <c r="A60" s="8" t="inlineStr">
        <is>
          <t>Harry Brook</t>
        </is>
      </c>
      <c r="B60" s="9" t="n"/>
      <c r="C60" s="10" t="n"/>
      <c r="D60" s="10">
        <f>IFERROR(T(VLOOKUP($A60,Players!$A:$E,2,FALSE)),"")</f>
        <v/>
      </c>
      <c r="E60" s="9" t="n">
        <v>2</v>
      </c>
      <c r="F60" s="10" t="inlineStr">
        <is>
          <t>B</t>
        </is>
      </c>
    </row>
    <row r="61">
      <c r="A61" s="5" t="inlineStr">
        <is>
          <t>Aiden Markram</t>
        </is>
      </c>
      <c r="B61" s="6" t="n"/>
      <c r="C61" s="7" t="n"/>
      <c r="D61" s="7">
        <f>IFERROR(T(VLOOKUP($A61,Players!$A:$E,2,FALSE)),"")</f>
        <v/>
      </c>
      <c r="E61" s="6" t="n">
        <v>2</v>
      </c>
      <c r="F61" s="7" t="inlineStr">
        <is>
          <t>B</t>
        </is>
      </c>
    </row>
    <row r="62">
      <c r="A62" s="8" t="inlineStr">
        <is>
          <t>Rahul Tewatia</t>
        </is>
      </c>
      <c r="B62" s="9" t="n"/>
      <c r="C62" s="10" t="n"/>
      <c r="D62" s="10">
        <f>IFERROR(T(VLOOKUP($A62,Players!$A:$E,2,FALSE)),"")</f>
        <v/>
      </c>
      <c r="E62" s="9" t="n">
        <v>2</v>
      </c>
      <c r="F62" s="10" t="inlineStr">
        <is>
          <t>B</t>
        </is>
      </c>
    </row>
    <row r="63">
      <c r="A63" s="5" t="inlineStr">
        <is>
          <t>Ramandeep Singh</t>
        </is>
      </c>
      <c r="B63" s="6" t="n"/>
      <c r="C63" s="7" t="n"/>
      <c r="D63" s="7">
        <f>IFERROR(T(VLOOKUP($A63,Players!$A:$E,2,FALSE)),"")</f>
        <v/>
      </c>
      <c r="E63" s="6" t="n">
        <v>2</v>
      </c>
      <c r="F63" s="7" t="inlineStr">
        <is>
          <t>B</t>
        </is>
      </c>
    </row>
    <row r="64">
      <c r="A64" s="8" t="inlineStr">
        <is>
          <t>Ayush Badoni</t>
        </is>
      </c>
      <c r="B64" s="9" t="n"/>
      <c r="C64" s="10" t="n"/>
      <c r="D64" s="10">
        <f>IFERROR(T(VLOOKUP($A64,Players!$A:$E,2,FALSE)),"")</f>
        <v/>
      </c>
      <c r="E64" s="9" t="n">
        <v>2</v>
      </c>
      <c r="F64" s="10" t="inlineStr">
        <is>
          <t>B</t>
        </is>
      </c>
    </row>
    <row r="65">
      <c r="A65" s="5" t="inlineStr">
        <is>
          <t>Rohit Sharma</t>
        </is>
      </c>
      <c r="B65" s="6" t="n">
        <v>26.5</v>
      </c>
      <c r="C65" s="7" t="inlineStr">
        <is>
          <t>Mumbai Indians</t>
        </is>
      </c>
      <c r="D65" s="7">
        <f>IFERROR(T(VLOOKUP($A65,Players!$A:$E,2,FALSE)),"")</f>
        <v/>
      </c>
      <c r="E65" s="6" t="n">
        <v>2</v>
      </c>
      <c r="F65" s="7" t="inlineStr">
        <is>
          <t>B</t>
        </is>
      </c>
    </row>
    <row r="66">
      <c r="A66" s="8" t="inlineStr">
        <is>
          <t>Abdul Samad</t>
        </is>
      </c>
      <c r="B66" s="9" t="n"/>
      <c r="C66" s="10" t="n"/>
      <c r="D66" s="10">
        <f>IFERROR(T(VLOOKUP($A66,Players!$A:$E,2,FALSE)),"")</f>
        <v/>
      </c>
      <c r="E66" s="9" t="n">
        <v>2</v>
      </c>
      <c r="F66" s="10" t="inlineStr">
        <is>
          <t>B</t>
        </is>
      </c>
    </row>
    <row r="67">
      <c r="A67" s="5" t="inlineStr">
        <is>
          <t>Shahrukh Khan</t>
        </is>
      </c>
      <c r="B67" s="6" t="n"/>
      <c r="C67" s="7" t="n"/>
      <c r="D67" s="7">
        <f>IFERROR(T(VLOOKUP($A67,Players!$A:$E,2,FALSE)),"")</f>
        <v/>
      </c>
      <c r="E67" s="6" t="n">
        <v>2</v>
      </c>
      <c r="F67" s="7" t="inlineStr">
        <is>
          <t>B</t>
        </is>
      </c>
    </row>
    <row r="68">
      <c r="A68" s="8" t="inlineStr">
        <is>
          <t>Manish Pandey</t>
        </is>
      </c>
      <c r="B68" s="9" t="n"/>
      <c r="C68" s="10" t="n"/>
      <c r="D68" s="10">
        <f>IFERROR(T(VLOOKUP($A68,Players!$A:$E,2,FALSE)),"")</f>
        <v/>
      </c>
      <c r="E68" s="9" t="n">
        <v>2</v>
      </c>
      <c r="F68" s="10" t="inlineStr">
        <is>
          <t>B</t>
        </is>
      </c>
    </row>
    <row r="69">
      <c r="A69" s="5" t="inlineStr">
        <is>
          <t>Sai Kishore</t>
        </is>
      </c>
      <c r="B69" s="6" t="n"/>
      <c r="C69" s="7" t="n"/>
      <c r="D69" s="7">
        <f>IFERROR(T(VLOOKUP($A69,Players!$A:$E,2,FALSE)),"")</f>
        <v/>
      </c>
      <c r="E69" s="6" t="n">
        <v>2</v>
      </c>
      <c r="F69" s="7" t="inlineStr">
        <is>
          <t>B</t>
        </is>
      </c>
    </row>
    <row r="70">
      <c r="A70" s="8" t="inlineStr">
        <is>
          <t>Rajat Patidar</t>
        </is>
      </c>
      <c r="B70" s="9" t="n">
        <v>18.5</v>
      </c>
      <c r="C70" s="10" t="inlineStr">
        <is>
          <t>Delhi Capitals</t>
        </is>
      </c>
      <c r="D70" s="10">
        <f>IFERROR(T(VLOOKUP($A70,Players!$A:$E,2,FALSE)),"")</f>
        <v/>
      </c>
      <c r="E70" s="9" t="n">
        <v>2</v>
      </c>
      <c r="F70" s="10" t="inlineStr">
        <is>
          <t>B</t>
        </is>
      </c>
    </row>
    <row r="71">
      <c r="A71" s="5" t="inlineStr">
        <is>
          <t>Bhuvneshwar Kumar</t>
        </is>
      </c>
      <c r="B71" s="6" t="n"/>
      <c r="C71" s="7" t="n"/>
      <c r="D71" s="7">
        <f>IFERROR(T(VLOOKUP($A71,Players!$A:$E,2,FALSE)),"")</f>
        <v/>
      </c>
      <c r="E71" s="6" t="n">
        <v>2</v>
      </c>
      <c r="F71" s="7" t="inlineStr">
        <is>
          <t>B</t>
        </is>
      </c>
    </row>
    <row r="72">
      <c r="A72" s="8" t="inlineStr">
        <is>
          <t>Avesh Khan</t>
        </is>
      </c>
      <c r="B72" s="9" t="n">
        <v>14.5</v>
      </c>
      <c r="C72" s="10" t="inlineStr">
        <is>
          <t>Rajasthan Royals</t>
        </is>
      </c>
      <c r="D72" s="10">
        <f>IFERROR(T(VLOOKUP($A72,Players!$A:$E,2,FALSE)),"")</f>
        <v/>
      </c>
      <c r="E72" s="9" t="n">
        <v>2</v>
      </c>
      <c r="F72" s="10" t="inlineStr">
        <is>
          <t>B</t>
        </is>
      </c>
    </row>
    <row r="73">
      <c r="A73" s="5" t="inlineStr">
        <is>
          <t>Mukesh Kumar</t>
        </is>
      </c>
      <c r="B73" s="6" t="n"/>
      <c r="C73" s="7" t="n"/>
      <c r="D73" s="7">
        <f>IFERROR(T(VLOOKUP($A73,Players!$A:$E,2,FALSE)),"")</f>
        <v/>
      </c>
      <c r="E73" s="6" t="n">
        <v>2</v>
      </c>
      <c r="F73" s="7" t="inlineStr">
        <is>
          <t>B</t>
        </is>
      </c>
    </row>
    <row r="74">
      <c r="A74" s="8" t="inlineStr">
        <is>
          <t>Khaleel Ahmed</t>
        </is>
      </c>
      <c r="B74" s="9" t="n"/>
      <c r="C74" s="10" t="n"/>
      <c r="D74" s="10">
        <f>IFERROR(T(VLOOKUP($A74,Players!$A:$E,2,FALSE)),"")</f>
        <v/>
      </c>
      <c r="E74" s="9" t="n">
        <v>2</v>
      </c>
      <c r="F74" s="10" t="inlineStr">
        <is>
          <t>B</t>
        </is>
      </c>
    </row>
    <row r="75">
      <c r="A75" s="5" t="inlineStr">
        <is>
          <t>Deepak Chahar</t>
        </is>
      </c>
      <c r="B75" s="6" t="n"/>
      <c r="C75" s="7" t="n"/>
      <c r="D75" s="7">
        <f>IFERROR(T(VLOOKUP($A75,Players!$A:$E,2,FALSE)),"")</f>
        <v/>
      </c>
      <c r="E75" s="6" t="n">
        <v>2</v>
      </c>
      <c r="F75" s="7" t="inlineStr">
        <is>
          <t>B</t>
        </is>
      </c>
    </row>
    <row r="76">
      <c r="A76" s="8" t="inlineStr">
        <is>
          <t>Yash Dayal</t>
        </is>
      </c>
      <c r="B76" s="9" t="n"/>
      <c r="C76" s="10" t="n"/>
      <c r="D76" s="10">
        <f>IFERROR(T(VLOOKUP($A76,Players!$A:$E,2,FALSE)),"")</f>
        <v/>
      </c>
      <c r="E76" s="9" t="n">
        <v>2</v>
      </c>
      <c r="F76" s="10" t="inlineStr">
        <is>
          <t>B</t>
        </is>
      </c>
    </row>
    <row r="77">
      <c r="A77" s="5" t="inlineStr">
        <is>
          <t>Akash Deep</t>
        </is>
      </c>
      <c r="B77" s="6" t="n"/>
      <c r="C77" s="7" t="n"/>
      <c r="D77" s="7">
        <f>IFERROR(T(VLOOKUP($A77,Players!$A:$E,2,FALSE)),"")</f>
        <v/>
      </c>
      <c r="E77" s="6" t="n">
        <v>2</v>
      </c>
      <c r="F77" s="7" t="inlineStr">
        <is>
          <t>B</t>
        </is>
      </c>
    </row>
    <row r="78">
      <c r="A78" s="8" t="inlineStr">
        <is>
          <t>Mohsin Khan</t>
        </is>
      </c>
      <c r="B78" s="9" t="n"/>
      <c r="C78" s="10" t="n"/>
      <c r="D78" s="10">
        <f>IFERROR(T(VLOOKUP($A78,Players!$A:$E,2,FALSE)),"")</f>
        <v/>
      </c>
      <c r="E78" s="9" t="n">
        <v>2</v>
      </c>
      <c r="F78" s="10" t="inlineStr">
        <is>
          <t>B</t>
        </is>
      </c>
    </row>
    <row r="79">
      <c r="A79" s="5" t="inlineStr">
        <is>
          <t>Simarjeet Singh</t>
        </is>
      </c>
      <c r="B79" s="6" t="n"/>
      <c r="C79" s="7" t="n"/>
      <c r="D79" s="7">
        <f>IFERROR(T(VLOOKUP($A79,Players!$A:$E,2,FALSE)),"")</f>
        <v/>
      </c>
      <c r="E79" s="6" t="n">
        <v>2</v>
      </c>
      <c r="F79" s="7" t="inlineStr">
        <is>
          <t>B</t>
        </is>
      </c>
    </row>
    <row r="80">
      <c r="A80" s="8" t="inlineStr">
        <is>
          <t>Yash Thakur</t>
        </is>
      </c>
      <c r="B80" s="9" t="n"/>
      <c r="C80" s="10" t="n"/>
      <c r="D80" s="10">
        <f>IFERROR(T(VLOOKUP($A80,Players!$A:$E,2,FALSE)),"")</f>
        <v/>
      </c>
      <c r="E80" s="9" t="n">
        <v>2</v>
      </c>
      <c r="F80" s="10" t="inlineStr">
        <is>
          <t>B</t>
        </is>
      </c>
    </row>
    <row r="81">
      <c r="A81" s="5" t="inlineStr">
        <is>
          <t>Mayank Yadav</t>
        </is>
      </c>
      <c r="B81" s="6" t="n"/>
      <c r="C81" s="7" t="n"/>
      <c r="D81" s="7">
        <f>IFERROR(T(VLOOKUP($A81,Players!$A:$E,2,FALSE)),"")</f>
        <v/>
      </c>
      <c r="E81" s="6" t="n">
        <v>2</v>
      </c>
      <c r="F81" s="7" t="inlineStr">
        <is>
          <t>B</t>
        </is>
      </c>
    </row>
    <row r="82">
      <c r="A82" s="8" t="inlineStr">
        <is>
          <t>Nandre Burger</t>
        </is>
      </c>
      <c r="B82" s="9" t="n"/>
      <c r="C82" s="10" t="n"/>
      <c r="D82" s="10">
        <f>IFERROR(T(VLOOKUP($A82,Players!$A:$E,2,FALSE)),"")</f>
        <v/>
      </c>
      <c r="E82" s="9" t="n">
        <v>2</v>
      </c>
      <c r="F82" s="10" t="inlineStr">
        <is>
          <t>B</t>
        </is>
      </c>
    </row>
    <row r="83">
      <c r="A83" s="5" t="inlineStr">
        <is>
          <t>Gerald Coetzee</t>
        </is>
      </c>
      <c r="B83" s="6" t="n"/>
      <c r="C83" s="7" t="n"/>
      <c r="D83" s="7">
        <f>IFERROR(T(VLOOKUP($A83,Players!$A:$E,2,FALSE)),"")</f>
        <v/>
      </c>
      <c r="E83" s="6" t="n">
        <v>2</v>
      </c>
      <c r="F83" s="7" t="inlineStr">
        <is>
          <t>B</t>
        </is>
      </c>
    </row>
    <row r="84">
      <c r="A84" s="8" t="inlineStr">
        <is>
          <t>Prasidh Krishna</t>
        </is>
      </c>
      <c r="B84" s="9" t="n"/>
      <c r="C84" s="10" t="n"/>
      <c r="D84" s="10">
        <f>IFERROR(T(VLOOKUP($A84,Players!$A:$E,2,FALSE)),"")</f>
        <v/>
      </c>
      <c r="E84" s="9" t="n">
        <v>2</v>
      </c>
      <c r="F84" s="10" t="inlineStr">
        <is>
          <t>B</t>
        </is>
      </c>
    </row>
    <row r="85">
      <c r="A85" s="5" t="inlineStr">
        <is>
          <t>T. Natarajan</t>
        </is>
      </c>
      <c r="B85" s="6" t="n">
        <v>8.25</v>
      </c>
      <c r="C85" s="7" t="inlineStr">
        <is>
          <t>Kolkata Knight Riders</t>
        </is>
      </c>
      <c r="D85" s="7">
        <f>IFERROR(T(VLOOKUP($A85,Players!$A:$E,2,FALSE)),"")</f>
        <v/>
      </c>
      <c r="E85" s="6" t="n">
        <v>2</v>
      </c>
      <c r="F85" s="7" t="inlineStr">
        <is>
          <t>B</t>
        </is>
      </c>
    </row>
    <row r="86">
      <c r="A86" s="8" t="inlineStr">
        <is>
          <t>Kuldeep Yadav</t>
        </is>
      </c>
      <c r="B86" s="9" t="n">
        <v>20</v>
      </c>
      <c r="C86" s="10" t="inlineStr">
        <is>
          <t>Mumbai Indians</t>
        </is>
      </c>
      <c r="D86" s="10">
        <f>IFERROR(T(VLOOKUP($A86,Players!$A:$E,2,FALSE)),"")</f>
        <v/>
      </c>
      <c r="E86" s="9" t="n">
        <v>2</v>
      </c>
      <c r="F86" s="10" t="inlineStr">
        <is>
          <t>B</t>
        </is>
      </c>
    </row>
    <row r="87">
      <c r="A87" s="5" t="inlineStr">
        <is>
          <t>Lockie Ferguson</t>
        </is>
      </c>
      <c r="B87" s="6" t="n"/>
      <c r="C87" s="7" t="n"/>
      <c r="D87" s="7">
        <f>IFERROR(T(VLOOKUP($A87,Players!$A:$E,2,FALSE)),"")</f>
        <v/>
      </c>
      <c r="E87" s="6" t="n">
        <v>2</v>
      </c>
      <c r="F87" s="7" t="inlineStr">
        <is>
          <t>B</t>
        </is>
      </c>
    </row>
    <row r="88">
      <c r="A88" s="8" t="inlineStr">
        <is>
          <t>Matheesha Pathirana</t>
        </is>
      </c>
      <c r="B88" s="9" t="n"/>
      <c r="C88" s="10" t="n"/>
      <c r="D88" s="10">
        <f>IFERROR(T(VLOOKUP($A88,Players!$A:$E,2,FALSE)),"")</f>
        <v/>
      </c>
      <c r="E88" s="9" t="n">
        <v>2</v>
      </c>
      <c r="F88" s="10" t="inlineStr">
        <is>
          <t>B</t>
        </is>
      </c>
    </row>
    <row r="89">
      <c r="A89" s="5" t="inlineStr">
        <is>
          <t>Spencer Johnson</t>
        </is>
      </c>
      <c r="B89" s="6" t="n">
        <v>5.75</v>
      </c>
      <c r="C89" s="7" t="inlineStr">
        <is>
          <t>Patna Panthers</t>
        </is>
      </c>
      <c r="D89" s="7">
        <f>IFERROR(T(VLOOKUP($A89,Players!$A:$E,2,FALSE)),"")</f>
        <v/>
      </c>
      <c r="E89" s="6" t="n">
        <v>2</v>
      </c>
      <c r="F89" s="7" t="inlineStr">
        <is>
          <t>B</t>
        </is>
      </c>
    </row>
    <row r="90">
      <c r="A90" s="8" t="inlineStr">
        <is>
          <t>Richard Gleeson</t>
        </is>
      </c>
      <c r="B90" s="9" t="n"/>
      <c r="C90" s="10" t="n"/>
      <c r="D90" s="10">
        <f>IFERROR(T(VLOOKUP($A90,Players!$A:$E,2,FALSE)),"")</f>
        <v/>
      </c>
      <c r="E90" s="9" t="n">
        <v>2</v>
      </c>
      <c r="F90" s="10" t="inlineStr">
        <is>
          <t>B</t>
        </is>
      </c>
    </row>
    <row r="91">
      <c r="A91" s="5" t="inlineStr">
        <is>
          <t>Yuzvendra Chahal</t>
        </is>
      </c>
      <c r="B91" s="6" t="n">
        <v>12</v>
      </c>
      <c r="C91" s="7" t="inlineStr">
        <is>
          <t>Royal Challangers Banglore</t>
        </is>
      </c>
      <c r="D91" s="7">
        <f>IFERROR(T(VLOOKUP($A91,Players!$A:$E,2,FALSE)),"")</f>
        <v/>
      </c>
      <c r="E91" s="6" t="n">
        <v>2</v>
      </c>
      <c r="F91" s="7" t="inlineStr">
        <is>
          <t>B</t>
        </is>
      </c>
    </row>
    <row r="92">
      <c r="A92" s="8" t="inlineStr">
        <is>
          <t>Ravi Bishnoi</t>
        </is>
      </c>
      <c r="B92" s="9" t="n"/>
      <c r="C92" s="10" t="n"/>
      <c r="D92" s="10">
        <f>IFERROR(T(VLOOKUP($A92,Players!$A:$E,2,FALSE)),"")</f>
        <v/>
      </c>
      <c r="E92" s="9" t="n">
        <v>2</v>
      </c>
      <c r="F92" s="10" t="inlineStr">
        <is>
          <t>B</t>
        </is>
      </c>
    </row>
    <row r="93">
      <c r="A93" s="5" t="inlineStr">
        <is>
          <t>R. Sai Kishore</t>
        </is>
      </c>
      <c r="B93" s="6" t="n"/>
      <c r="C93" s="7" t="n"/>
      <c r="D93" s="7">
        <f>IFERROR(T(VLOOKUP($A93,Players!$A:$E,2,FALSE)),"")</f>
        <v/>
      </c>
      <c r="E93" s="6" t="n">
        <v>2</v>
      </c>
      <c r="F93" s="7" t="inlineStr">
        <is>
          <t>B</t>
        </is>
      </c>
    </row>
    <row r="94">
      <c r="A94" s="8" t="inlineStr">
        <is>
          <t>Maheesh Theekshana</t>
        </is>
      </c>
      <c r="B94" s="9" t="n">
        <v>5.75</v>
      </c>
      <c r="C94" s="10" t="inlineStr">
        <is>
          <t>Guwahati Chargers</t>
        </is>
      </c>
      <c r="D94" s="10">
        <f>IFERROR(T(VLOOKUP($A94,Players!$A:$E,2,FALSE)),"")</f>
        <v/>
      </c>
      <c r="E94" s="9" t="n">
        <v>2</v>
      </c>
      <c r="F94" s="10" t="inlineStr">
        <is>
          <t>B</t>
        </is>
      </c>
    </row>
    <row r="95">
      <c r="A95" s="5" t="inlineStr">
        <is>
          <t>Rahul Chahar</t>
        </is>
      </c>
      <c r="B95" s="6" t="n"/>
      <c r="C95" s="7" t="n"/>
      <c r="D95" s="7">
        <f>IFERROR(T(VLOOKUP($A95,Players!$A:$E,2,FALSE)),"")</f>
        <v/>
      </c>
      <c r="E95" s="6" t="n">
        <v>2</v>
      </c>
      <c r="F95" s="7" t="inlineStr">
        <is>
          <t>B</t>
        </is>
      </c>
    </row>
    <row r="96">
      <c r="A96" s="8" t="inlineStr">
        <is>
          <t>Suyash Sharma</t>
        </is>
      </c>
      <c r="B96" s="9" t="n"/>
      <c r="C96" s="10" t="n"/>
      <c r="D96" s="10">
        <f>IFERROR(T(VLOOKUP($A96,Players!$A:$E,2,FALSE)),"")</f>
        <v/>
      </c>
      <c r="E96" s="9" t="n">
        <v>2</v>
      </c>
      <c r="F96" s="10" t="inlineStr">
        <is>
          <t>B</t>
        </is>
      </c>
    </row>
    <row r="97">
      <c r="A97" s="5" t="inlineStr">
        <is>
          <t>Karn Sharma</t>
        </is>
      </c>
      <c r="B97" s="6" t="n"/>
      <c r="C97" s="7" t="n"/>
      <c r="D97" s="7">
        <f>IFERROR(T(VLOOKUP($A97,Players!$A:$E,2,FALSE)),"")</f>
        <v/>
      </c>
      <c r="E97" s="6" t="n">
        <v>2</v>
      </c>
      <c r="F97" s="7" t="inlineStr">
        <is>
          <t>B</t>
        </is>
      </c>
    </row>
    <row r="98">
      <c r="A98" s="8" t="inlineStr">
        <is>
          <t>M. Siddharth</t>
        </is>
      </c>
      <c r="B98" s="9" t="n"/>
      <c r="C98" s="10" t="n"/>
      <c r="D98" s="10">
        <f>IFERROR(T(VLOOKUP($A98,Players!$A:$E,2,FALSE)),"")</f>
        <v/>
      </c>
      <c r="E98" s="9" t="n">
        <v>2</v>
      </c>
      <c r="F98" s="10" t="inlineStr">
        <is>
          <t>B</t>
        </is>
      </c>
    </row>
    <row r="99">
      <c r="A99" s="5" t="inlineStr">
        <is>
          <t>Shamar Joseph</t>
        </is>
      </c>
      <c r="B99" s="6" t="n"/>
      <c r="C99" s="7" t="n"/>
      <c r="D99" s="7">
        <f>IFERROR(T(VLOOKUP($A99,Players!$A:$E,2,FALSE)),"")</f>
        <v/>
      </c>
      <c r="E99" s="6" t="n">
        <v>2</v>
      </c>
      <c r="F99" s="7" t="inlineStr">
        <is>
          <t>B</t>
        </is>
      </c>
    </row>
    <row r="100">
      <c r="A100" s="8" t="inlineStr">
        <is>
          <t>Anrich Nortje</t>
        </is>
      </c>
      <c r="B100" s="9" t="n">
        <v>7</v>
      </c>
      <c r="C100" s="10" t="inlineStr">
        <is>
          <t>Mumbai Indians</t>
        </is>
      </c>
      <c r="D100" s="10">
        <f>IFERROR(T(VLOOKUP($A100,Players!$A:$E,2,FALSE)),"")</f>
        <v/>
      </c>
      <c r="E100" s="9" t="n">
        <v>2</v>
      </c>
      <c r="F100" s="10" t="inlineStr">
        <is>
          <t>B</t>
        </is>
      </c>
    </row>
    <row r="101">
      <c r="A101" s="5" t="inlineStr">
        <is>
          <t>Shivam Dube</t>
        </is>
      </c>
      <c r="B101" s="6" t="n"/>
      <c r="C101" s="7" t="n"/>
      <c r="D101" s="7">
        <f>IFERROR(T(VLOOKUP($A101,Players!$A:$E,2,FALSE)),"")</f>
        <v/>
      </c>
      <c r="E101" s="6" t="n">
        <v>2</v>
      </c>
      <c r="F101" s="7" t="inlineStr">
        <is>
          <t>B</t>
        </is>
      </c>
    </row>
    <row r="102">
      <c r="A102" s="8" t="inlineStr">
        <is>
          <t>Shahbaz Ahmed</t>
        </is>
      </c>
      <c r="B102" s="9" t="n"/>
      <c r="C102" s="10" t="n"/>
      <c r="D102" s="10">
        <f>IFERROR(T(VLOOKUP($A102,Players!$A:$E,2,FALSE)),"")</f>
        <v/>
      </c>
      <c r="E102" s="9" t="n">
        <v>2</v>
      </c>
      <c r="F102" s="10" t="inlineStr">
        <is>
          <t>B</t>
        </is>
      </c>
    </row>
    <row r="103">
      <c r="A103" s="5" t="inlineStr">
        <is>
          <t>Vijay Shankar</t>
        </is>
      </c>
      <c r="B103" s="6" t="n"/>
      <c r="C103" s="7" t="n"/>
      <c r="D103" s="7">
        <f>IFERROR(T(VLOOKUP($A103,Players!$A:$E,2,FALSE)),"")</f>
        <v/>
      </c>
      <c r="E103" s="6" t="n">
        <v>2</v>
      </c>
      <c r="F103" s="7" t="inlineStr">
        <is>
          <t>B</t>
        </is>
      </c>
    </row>
    <row r="104">
      <c r="A104" s="8" t="inlineStr">
        <is>
          <t>Deepak Hooda</t>
        </is>
      </c>
      <c r="B104" s="9" t="n">
        <v>4.5</v>
      </c>
      <c r="C104" s="10" t="inlineStr">
        <is>
          <t>Punjab Kings</t>
        </is>
      </c>
      <c r="D104" s="10">
        <f>IFERROR(T(VLOOKUP($A104,Players!$A:$E,2,FALSE)),"")</f>
        <v/>
      </c>
      <c r="E104" s="9" t="n">
        <v>2</v>
      </c>
      <c r="F104" s="10" t="inlineStr">
        <is>
          <t>B</t>
        </is>
      </c>
    </row>
    <row r="105">
      <c r="A105" s="5" t="inlineStr">
        <is>
          <t>Liam Livingstone</t>
        </is>
      </c>
      <c r="B105" s="6" t="n">
        <v>13</v>
      </c>
      <c r="C105" s="7" t="inlineStr">
        <is>
          <t>Patna Panthers</t>
        </is>
      </c>
      <c r="D105" s="7">
        <f>IFERROR(T(VLOOKUP($A105,Players!$A:$E,2,FALSE)),"")</f>
        <v/>
      </c>
      <c r="E105" s="6" t="n">
        <v>2</v>
      </c>
      <c r="F105" s="7" t="inlineStr">
        <is>
          <t>B</t>
        </is>
      </c>
    </row>
    <row r="106">
      <c r="A106" s="8" t="inlineStr">
        <is>
          <t>Glenn Maxwell</t>
        </is>
      </c>
      <c r="B106" s="9" t="n">
        <v>12.5</v>
      </c>
      <c r="C106" s="10" t="inlineStr">
        <is>
          <t>Rajasthan Royals</t>
        </is>
      </c>
      <c r="D106" s="10">
        <f>IFERROR(T(VLOOKUP($A106,Players!$A:$E,2,FALSE)),"")</f>
        <v/>
      </c>
      <c r="E106" s="9" t="n">
        <v>2</v>
      </c>
      <c r="F106" s="10" t="inlineStr">
        <is>
          <t>B</t>
        </is>
      </c>
    </row>
    <row r="107">
      <c r="A107" s="5" t="inlineStr">
        <is>
          <t>Romario Shepherd</t>
        </is>
      </c>
      <c r="B107" s="6" t="n">
        <v>8.5</v>
      </c>
      <c r="C107" s="7" t="inlineStr">
        <is>
          <t>Chennai Super Kings</t>
        </is>
      </c>
      <c r="D107" s="7">
        <f>IFERROR(T(VLOOKUP($A107,Players!$A:$E,2,FALSE)),"")</f>
        <v/>
      </c>
      <c r="E107" s="6" t="n">
        <v>2</v>
      </c>
      <c r="F107" s="7" t="inlineStr">
        <is>
          <t>B</t>
        </is>
      </c>
    </row>
    <row r="108">
      <c r="A108" s="8" t="inlineStr">
        <is>
          <t>Marco Jansen</t>
        </is>
      </c>
      <c r="B108" s="9" t="n"/>
      <c r="C108" s="10" t="n"/>
      <c r="D108" s="10">
        <f>IFERROR(T(VLOOKUP($A108,Players!$A:$E,2,FALSE)),"")</f>
        <v/>
      </c>
      <c r="E108" s="9" t="n">
        <v>2</v>
      </c>
      <c r="F108" s="10" t="inlineStr">
        <is>
          <t>B</t>
        </is>
      </c>
    </row>
    <row r="109">
      <c r="A109" s="5" t="inlineStr">
        <is>
          <t>Moeen Ali</t>
        </is>
      </c>
      <c r="B109" s="6" t="n">
        <v>10</v>
      </c>
      <c r="C109" s="7" t="inlineStr">
        <is>
          <t>Rising Pune Super Giants</t>
        </is>
      </c>
      <c r="D109" s="7">
        <f>IFERROR(T(VLOOKUP($A109,Players!$A:$E,2,FALSE)),"")</f>
        <v/>
      </c>
      <c r="E109" s="6" t="n">
        <v>2</v>
      </c>
      <c r="F109" s="7" t="inlineStr">
        <is>
          <t>B</t>
        </is>
      </c>
    </row>
    <row r="110">
      <c r="A110" s="8" t="inlineStr">
        <is>
          <t>Will Jacks</t>
        </is>
      </c>
      <c r="B110" s="9" t="n">
        <v>15.5</v>
      </c>
      <c r="C110" s="10" t="inlineStr">
        <is>
          <t>Rising Pune Super Giants</t>
        </is>
      </c>
      <c r="D110" s="10">
        <f>IFERROR(T(VLOOKUP($A110,Players!$A:$E,2,FALSE)),"")</f>
        <v/>
      </c>
      <c r="E110" s="9" t="n">
        <v>2</v>
      </c>
      <c r="F110" s="10" t="inlineStr">
        <is>
          <t>B</t>
        </is>
      </c>
    </row>
    <row r="111">
      <c r="A111" s="5" t="inlineStr">
        <is>
          <t>Michael Bracewell</t>
        </is>
      </c>
      <c r="B111" s="6" t="n"/>
      <c r="C111" s="7" t="n"/>
      <c r="D111" s="7">
        <f>IFERROR(T(VLOOKUP($A111,Players!$A:$E,2,FALSE)),"")</f>
        <v/>
      </c>
      <c r="E111" s="6" t="n">
        <v>2</v>
      </c>
      <c r="F111" s="7" t="inlineStr">
        <is>
          <t>B</t>
        </is>
      </c>
    </row>
    <row r="112">
      <c r="A112" s="8" t="inlineStr">
        <is>
          <t>Azmatullah Omarzai</t>
        </is>
      </c>
      <c r="B112" s="9" t="n"/>
      <c r="C112" s="10" t="n"/>
      <c r="D112" s="10">
        <f>IFERROR(T(VLOOKUP($A112,Players!$A:$E,2,FALSE)),"")</f>
        <v/>
      </c>
      <c r="E112" s="9" t="n">
        <v>2</v>
      </c>
      <c r="F112" s="10" t="inlineStr">
        <is>
          <t>B</t>
        </is>
      </c>
    </row>
    <row r="113">
      <c r="A113" s="5" t="inlineStr">
        <is>
          <t>Swapnil Singh</t>
        </is>
      </c>
      <c r="B113" s="6" t="n"/>
      <c r="C113" s="7" t="n"/>
      <c r="D113" s="7">
        <f>IFERROR(T(VLOOKUP($A113,Players!$A:$E,2,FALSE)),"")</f>
        <v/>
      </c>
      <c r="E113" s="6" t="n">
        <v>2</v>
      </c>
      <c r="F113" s="7" t="inlineStr">
        <is>
          <t>B</t>
        </is>
      </c>
    </row>
    <row r="114">
      <c r="A114" s="8" t="inlineStr">
        <is>
          <t>MS Dhoni</t>
        </is>
      </c>
      <c r="B114" s="9" t="n">
        <v>15</v>
      </c>
      <c r="C114" s="10" t="inlineStr">
        <is>
          <t>Rajasthan Royals</t>
        </is>
      </c>
      <c r="D114" s="10">
        <f>IFERROR(T(VLOOKUP($A114,Players!$A:$E,2,FALSE)),"")</f>
        <v/>
      </c>
      <c r="E114" s="9" t="n">
        <v>2</v>
      </c>
      <c r="F114" s="10" t="inlineStr">
        <is>
          <t>B</t>
        </is>
      </c>
    </row>
    <row r="115">
      <c r="A115" s="5" t="inlineStr">
        <is>
          <t>Dhruv Jurel</t>
        </is>
      </c>
      <c r="B115" s="6" t="n"/>
      <c r="C115" s="7" t="n"/>
      <c r="D115" s="7">
        <f>IFERROR(T(VLOOKUP($A115,Players!$A:$E,2,FALSE)),"")</f>
        <v/>
      </c>
      <c r="E115" s="6" t="n">
        <v>2</v>
      </c>
      <c r="F115" s="7" t="inlineStr">
        <is>
          <t>B</t>
        </is>
      </c>
    </row>
    <row r="116">
      <c r="A116" s="8" t="inlineStr">
        <is>
          <t>Ryan Rickelton</t>
        </is>
      </c>
      <c r="B116" s="9" t="n"/>
      <c r="C116" s="10" t="n"/>
      <c r="D116" s="10">
        <f>IFERROR(T(VLOOKUP($A116,Players!$A:$E,2,FALSE)),"")</f>
        <v/>
      </c>
      <c r="E116" s="9" t="n">
        <v>2</v>
      </c>
      <c r="F116" s="10" t="inlineStr">
        <is>
          <t>B</t>
        </is>
      </c>
    </row>
    <row r="117">
      <c r="A117" s="5" t="inlineStr">
        <is>
          <t>Quinton de Kock</t>
        </is>
      </c>
      <c r="B117" s="6" t="n">
        <v>19</v>
      </c>
      <c r="C117" s="7" t="inlineStr">
        <is>
          <t>Imphal Igniter</t>
        </is>
      </c>
      <c r="D117" s="7">
        <f>IFERROR(T(VLOOKUP($A117,Players!$A:$E,2,FALSE)),"")</f>
        <v/>
      </c>
      <c r="E117" s="6" t="n">
        <v>2</v>
      </c>
      <c r="F117" s="7" t="inlineStr">
        <is>
          <t>B</t>
        </is>
      </c>
    </row>
    <row r="118">
      <c r="A118" s="8" t="inlineStr">
        <is>
          <t>Rahmanullah Gurbaz</t>
        </is>
      </c>
      <c r="B118" s="9" t="n"/>
      <c r="C118" s="10" t="n"/>
      <c r="D118" s="10">
        <f>IFERROR(T(VLOOKUP($A118,Players!$A:$E,2,FALSE)),"")</f>
        <v/>
      </c>
      <c r="E118" s="9" t="n">
        <v>2</v>
      </c>
      <c r="F118" s="10" t="inlineStr">
        <is>
          <t>B</t>
        </is>
      </c>
    </row>
    <row r="119">
      <c r="A119" s="5" t="inlineStr">
        <is>
          <t>Devon Conway</t>
        </is>
      </c>
      <c r="B119" s="6" t="n"/>
      <c r="C119" s="7" t="n"/>
      <c r="D119" s="7">
        <f>IFERROR(T(VLOOKUP($A119,Players!$A:$E,2,FALSE)),"")</f>
        <v/>
      </c>
      <c r="E119" s="6" t="n">
        <v>2</v>
      </c>
      <c r="F119" s="7" t="inlineStr">
        <is>
          <t>B</t>
        </is>
      </c>
    </row>
    <row r="120">
      <c r="A120" s="8" t="inlineStr">
        <is>
          <t>Josh Inglis</t>
        </is>
      </c>
      <c r="B120" s="9" t="n"/>
      <c r="C120" s="10" t="n"/>
      <c r="D120" s="10">
        <f>IFERROR(T(VLOOKUP($A120,Players!$A:$E,2,FALSE)),"")</f>
        <v/>
      </c>
      <c r="E120" s="9" t="n">
        <v>2</v>
      </c>
      <c r="F120" s="10" t="inlineStr">
        <is>
          <t>B</t>
        </is>
      </c>
    </row>
    <row r="121">
      <c r="A121" s="5" t="inlineStr">
        <is>
          <t>Anuj Rawat</t>
        </is>
      </c>
      <c r="B121" s="6" t="n"/>
      <c r="C121" s="7" t="n"/>
      <c r="D121" s="7">
        <f>IFERROR(T(VLOOKUP($A121,Players!$A:$E,2,FALSE)),"")</f>
        <v/>
      </c>
      <c r="E121" s="6" t="n">
        <v>2</v>
      </c>
      <c r="F121" s="7" t="inlineStr">
        <is>
          <t>B</t>
        </is>
      </c>
    </row>
    <row r="122">
      <c r="A122" s="8" t="inlineStr">
        <is>
          <t>Vishnu Vinod</t>
        </is>
      </c>
      <c r="B122" s="9" t="n"/>
      <c r="C122" s="10" t="n"/>
      <c r="D122" s="10">
        <f>IFERROR(T(VLOOKUP($A122,Players!$A:$E,2,FALSE)),"")</f>
        <v/>
      </c>
      <c r="E122" s="9" t="n">
        <v>2</v>
      </c>
      <c r="F122" s="10" t="inlineStr">
        <is>
          <t>B</t>
        </is>
      </c>
    </row>
    <row r="123">
      <c r="A123" s="5" t="inlineStr">
        <is>
          <t>Robin Minz</t>
        </is>
      </c>
      <c r="B123" s="6" t="n"/>
      <c r="C123" s="7" t="n"/>
      <c r="D123" s="7">
        <f>IFERROR(T(VLOOKUP($A123,Players!$A:$E,2,FALSE)),"")</f>
        <v/>
      </c>
      <c r="E123" s="6" t="n">
        <v>2</v>
      </c>
      <c r="F123" s="7" t="inlineStr">
        <is>
          <t>B</t>
        </is>
      </c>
    </row>
    <row r="124">
      <c r="A124" s="8" t="inlineStr">
        <is>
          <t>Nitish Rana</t>
        </is>
      </c>
      <c r="B124" s="9" t="n">
        <v>11</v>
      </c>
      <c r="C124" s="10" t="inlineStr">
        <is>
          <t>Delhi Capitals</t>
        </is>
      </c>
      <c r="D124" s="10">
        <f>IFERROR(T(VLOOKUP($A124,Players!$A:$E,2,FALSE)),"")</f>
        <v/>
      </c>
      <c r="E124" s="9" t="n">
        <v>1</v>
      </c>
      <c r="F124" s="10" t="inlineStr">
        <is>
          <t>C</t>
        </is>
      </c>
    </row>
    <row r="125">
      <c r="A125" s="5" t="inlineStr">
        <is>
          <t>Sarfaraz Khan</t>
        </is>
      </c>
      <c r="B125" s="6" t="n">
        <v>13</v>
      </c>
      <c r="C125" s="7" t="inlineStr">
        <is>
          <t>Chennai Super Kings</t>
        </is>
      </c>
      <c r="D125" s="7">
        <f>IFERROR(T(VLOOKUP($A125,Players!$A:$E,2,FALSE)),"")</f>
        <v/>
      </c>
      <c r="E125" s="6" t="n">
        <v>1</v>
      </c>
      <c r="F125" s="7" t="inlineStr">
        <is>
          <t>C</t>
        </is>
      </c>
    </row>
    <row r="126">
      <c r="A126" s="8" t="inlineStr">
        <is>
          <t>Mandeep Singh</t>
        </is>
      </c>
      <c r="B126" s="9" t="n"/>
      <c r="C126" s="10" t="n"/>
      <c r="D126" s="10">
        <f>IFERROR(T(VLOOKUP($A126,Players!$A:$E,2,FALSE)),"")</f>
        <v/>
      </c>
      <c r="E126" s="9" t="n">
        <v>1</v>
      </c>
      <c r="F126" s="10" t="inlineStr">
        <is>
          <t>C</t>
        </is>
      </c>
    </row>
    <row r="127">
      <c r="A127" s="5" t="inlineStr">
        <is>
          <t>Harpreet Bhatia</t>
        </is>
      </c>
      <c r="B127" s="6" t="n">
        <v>1</v>
      </c>
      <c r="C127" s="7" t="inlineStr">
        <is>
          <t>Rajasthan Royals</t>
        </is>
      </c>
      <c r="D127" s="7">
        <f>IFERROR(T(VLOOKUP($A127,Players!$A:$E,2,FALSE)),"")</f>
        <v/>
      </c>
      <c r="E127" s="6" t="n">
        <v>1</v>
      </c>
      <c r="F127" s="7" t="inlineStr">
        <is>
          <t>C</t>
        </is>
      </c>
    </row>
    <row r="128">
      <c r="A128" s="8" t="inlineStr">
        <is>
          <t>Shaik Rasheed</t>
        </is>
      </c>
      <c r="B128" s="9" t="n">
        <v>5.5</v>
      </c>
      <c r="C128" s="10" t="inlineStr">
        <is>
          <t>Imphal Igniter</t>
        </is>
      </c>
      <c r="D128" s="10">
        <f>IFERROR(T(VLOOKUP($A128,Players!$A:$E,2,FALSE)),"")</f>
        <v/>
      </c>
      <c r="E128" s="9" t="n">
        <v>1</v>
      </c>
      <c r="F128" s="10" t="inlineStr">
        <is>
          <t>C</t>
        </is>
      </c>
    </row>
    <row r="129">
      <c r="A129" s="5" t="inlineStr">
        <is>
          <t>Harnoor Singh</t>
        </is>
      </c>
      <c r="B129" s="6" t="n">
        <v>2.25</v>
      </c>
      <c r="C129" s="7" t="inlineStr">
        <is>
          <t>Royal Challangers Banglore</t>
        </is>
      </c>
      <c r="D129" s="7">
        <f>IFERROR(T(VLOOKUP($A129,Players!$A:$E,2,FALSE)),"")</f>
        <v/>
      </c>
      <c r="E129" s="6" t="n">
        <v>1</v>
      </c>
      <c r="F129" s="7" t="inlineStr">
        <is>
          <t>C</t>
        </is>
      </c>
    </row>
    <row r="130">
      <c r="A130" s="8" t="inlineStr">
        <is>
          <t>Musheer Khan</t>
        </is>
      </c>
      <c r="B130" s="9" t="n">
        <v>6.5</v>
      </c>
      <c r="C130" s="10" t="inlineStr">
        <is>
          <t>Rajasthan Royals</t>
        </is>
      </c>
      <c r="D130" s="10">
        <f>IFERROR(T(VLOOKUP($A130,Players!$A:$E,2,FALSE)),"")</f>
        <v/>
      </c>
      <c r="E130" s="9" t="n">
        <v>1</v>
      </c>
      <c r="F130" s="10" t="inlineStr">
        <is>
          <t>C</t>
        </is>
      </c>
    </row>
    <row r="131">
      <c r="A131" s="5" t="inlineStr">
        <is>
          <t>Swastik Chikara</t>
        </is>
      </c>
      <c r="B131" s="6" t="n">
        <v>7.5</v>
      </c>
      <c r="C131" s="7" t="inlineStr">
        <is>
          <t>Royal Challangers Banglore</t>
        </is>
      </c>
      <c r="D131" s="7">
        <f>IFERROR(T(VLOOKUP($A131,Players!$A:$E,2,FALSE)),"")</f>
        <v/>
      </c>
      <c r="E131" s="6" t="n">
        <v>1</v>
      </c>
      <c r="F131" s="7" t="inlineStr">
        <is>
          <t>C</t>
        </is>
      </c>
    </row>
    <row r="132">
      <c r="A132" s="8" t="inlineStr">
        <is>
          <t>Yash Dhull</t>
        </is>
      </c>
      <c r="B132" s="9" t="n"/>
      <c r="C132" s="10" t="n"/>
      <c r="D132" s="10">
        <f>IFERROR(T(VLOOKUP($A132,Players!$A:$E,2,FALSE)),"")</f>
        <v/>
      </c>
      <c r="E132" s="9" t="n">
        <v>1</v>
      </c>
      <c r="F132" s="10" t="inlineStr">
        <is>
          <t>C</t>
        </is>
      </c>
    </row>
    <row r="133">
      <c r="A133" s="5" t="inlineStr">
        <is>
          <t>Vishnu Solanki</t>
        </is>
      </c>
      <c r="B133" s="6" t="n"/>
      <c r="C133" s="7" t="n"/>
      <c r="D133" s="7">
        <f>IFERROR(T(VLOOKUP($A133,Players!$A:$E,2,FALSE)),"")</f>
        <v/>
      </c>
      <c r="E133" s="6" t="n">
        <v>1</v>
      </c>
      <c r="F133" s="7" t="inlineStr">
        <is>
          <t>C</t>
        </is>
      </c>
    </row>
    <row r="134">
      <c r="A134" s="8" t="inlineStr">
        <is>
          <t>Rohan Kunnummal</t>
        </is>
      </c>
      <c r="B134" s="9" t="n"/>
      <c r="C134" s="10" t="n"/>
      <c r="D134" s="10">
        <f>IFERROR(T(VLOOKUP($A134,Players!$A:$E,2,FALSE)),"")</f>
        <v/>
      </c>
      <c r="E134" s="9" t="n">
        <v>1</v>
      </c>
      <c r="F134" s="10" t="inlineStr">
        <is>
          <t>C</t>
        </is>
      </c>
    </row>
    <row r="135">
      <c r="A135" s="5" t="inlineStr">
        <is>
          <t>Ricky Bhui</t>
        </is>
      </c>
      <c r="B135" s="6" t="n"/>
      <c r="C135" s="7" t="n"/>
      <c r="D135" s="7">
        <f>IFERROR(T(VLOOKUP($A135,Players!$A:$E,2,FALSE)),"")</f>
        <v/>
      </c>
      <c r="E135" s="6" t="n">
        <v>1</v>
      </c>
      <c r="F135" s="7" t="inlineStr">
        <is>
          <t>C</t>
        </is>
      </c>
    </row>
    <row r="136">
      <c r="A136" s="8" t="inlineStr">
        <is>
          <t>Virat Singh</t>
        </is>
      </c>
      <c r="B136" s="9" t="n"/>
      <c r="C136" s="10" t="n"/>
      <c r="D136" s="10">
        <f>IFERROR(T(VLOOKUP($A136,Players!$A:$E,2,FALSE)),"")</f>
        <v/>
      </c>
      <c r="E136" s="9" t="n">
        <v>1</v>
      </c>
      <c r="F136" s="10" t="inlineStr">
        <is>
          <t>C</t>
        </is>
      </c>
    </row>
    <row r="137">
      <c r="A137" s="5" t="inlineStr">
        <is>
          <t>Suyash Prabhudessai</t>
        </is>
      </c>
      <c r="B137" s="6" t="n"/>
      <c r="C137" s="7" t="n"/>
      <c r="D137" s="7">
        <f>IFERROR(T(VLOOKUP($A137,Players!$A:$E,2,FALSE)),"")</f>
        <v/>
      </c>
      <c r="E137" s="6" t="n">
        <v>1</v>
      </c>
      <c r="F137" s="7" t="inlineStr">
        <is>
          <t>C</t>
        </is>
      </c>
    </row>
    <row r="138">
      <c r="A138" s="8" t="inlineStr">
        <is>
          <t>Smaran Ravichandran</t>
        </is>
      </c>
      <c r="B138" s="9" t="n"/>
      <c r="C138" s="10" t="n"/>
      <c r="D138" s="10">
        <f>IFERROR(T(VLOOKUP($A138,Players!$A:$E,2,FALSE)),"")</f>
        <v/>
      </c>
      <c r="E138" s="9" t="n">
        <v>1</v>
      </c>
      <c r="F138" s="10" t="inlineStr">
        <is>
          <t>C</t>
        </is>
      </c>
    </row>
    <row r="139">
      <c r="A139" s="5" t="inlineStr">
        <is>
          <t>Priyam Garg</t>
        </is>
      </c>
      <c r="B139" s="6" t="n"/>
      <c r="C139" s="7" t="n"/>
      <c r="D139" s="7">
        <f>IFERROR(T(VLOOKUP($A139,Players!$A:$E,2,FALSE)),"")</f>
        <v/>
      </c>
      <c r="E139" s="6" t="n">
        <v>1</v>
      </c>
      <c r="F139" s="7" t="inlineStr">
        <is>
          <t>C</t>
        </is>
      </c>
    </row>
    <row r="140">
      <c r="A140" s="8" t="inlineStr">
        <is>
          <t>Harnoor Pannu</t>
        </is>
      </c>
      <c r="B140" s="9" t="n"/>
      <c r="C140" s="10" t="n"/>
      <c r="D140" s="10">
        <f>IFERROR(T(VLOOKUP($A140,Players!$A:$E,2,FALSE)),"")</f>
        <v/>
      </c>
      <c r="E140" s="9" t="n">
        <v>1</v>
      </c>
      <c r="F140" s="10" t="inlineStr">
        <is>
          <t>C</t>
        </is>
      </c>
    </row>
    <row r="141">
      <c r="A141" s="5" t="inlineStr">
        <is>
          <t>Karan Sharma</t>
        </is>
      </c>
      <c r="B141" s="6" t="n"/>
      <c r="C141" s="7" t="n"/>
      <c r="D141" s="7">
        <f>IFERROR(T(VLOOKUP($A141,Players!$A:$E,2,FALSE)),"")</f>
        <v/>
      </c>
      <c r="E141" s="6" t="n">
        <v>1</v>
      </c>
      <c r="F141" s="7" t="inlineStr">
        <is>
          <t>C</t>
        </is>
      </c>
    </row>
    <row r="142">
      <c r="A142" s="8" t="inlineStr">
        <is>
          <t>Rohan Patil</t>
        </is>
      </c>
      <c r="B142" s="9" t="n"/>
      <c r="C142" s="10" t="n"/>
      <c r="D142" s="10">
        <f>IFERROR(T(VLOOKUP($A142,Players!$A:$E,2,FALSE)),"")</f>
        <v/>
      </c>
      <c r="E142" s="9" t="n">
        <v>1</v>
      </c>
      <c r="F142" s="10" t="inlineStr">
        <is>
          <t>C</t>
        </is>
      </c>
    </row>
    <row r="143">
      <c r="A143" s="5" t="inlineStr">
        <is>
          <t>Shubham Dubey</t>
        </is>
      </c>
      <c r="B143" s="6" t="n"/>
      <c r="C143" s="7" t="n"/>
      <c r="D143" s="7">
        <f>IFERROR(T(VLOOKUP($A143,Players!$A:$E,2,FALSE)),"")</f>
        <v/>
      </c>
      <c r="E143" s="6" t="n">
        <v>1</v>
      </c>
      <c r="F143" s="7" t="inlineStr">
        <is>
          <t>C</t>
        </is>
      </c>
    </row>
    <row r="144">
      <c r="A144" s="8" t="inlineStr">
        <is>
          <t>Pukhraj Mann</t>
        </is>
      </c>
      <c r="B144" s="9" t="n"/>
      <c r="C144" s="10" t="n"/>
      <c r="D144" s="10">
        <f>IFERROR(T(VLOOKUP($A144,Players!$A:$E,2,FALSE)),"")</f>
        <v/>
      </c>
      <c r="E144" s="9" t="n">
        <v>1</v>
      </c>
      <c r="F144" s="10" t="inlineStr">
        <is>
          <t>C</t>
        </is>
      </c>
    </row>
    <row r="145">
      <c r="A145" s="5" t="inlineStr">
        <is>
          <t>Ansh Gosai</t>
        </is>
      </c>
      <c r="B145" s="6" t="n"/>
      <c r="C145" s="7" t="n"/>
      <c r="D145" s="7">
        <f>IFERROR(T(VLOOKUP($A145,Players!$A:$E,2,FALSE)),"")</f>
        <v/>
      </c>
      <c r="E145" s="6" t="n">
        <v>1</v>
      </c>
      <c r="F145" s="7" t="inlineStr">
        <is>
          <t>C</t>
        </is>
      </c>
    </row>
    <row r="146">
      <c r="A146" s="8" t="inlineStr">
        <is>
          <t>Saurabh Chauhan</t>
        </is>
      </c>
      <c r="B146" s="9" t="n"/>
      <c r="C146" s="10" t="n"/>
      <c r="D146" s="10">
        <f>IFERROR(T(VLOOKUP($A146,Players!$A:$E,2,FALSE)),"")</f>
        <v/>
      </c>
      <c r="E146" s="9" t="n">
        <v>1</v>
      </c>
      <c r="F146" s="10" t="inlineStr">
        <is>
          <t>C</t>
        </is>
      </c>
    </row>
    <row r="147">
      <c r="A147" s="5" t="inlineStr">
        <is>
          <t>Arshin Kulkarni</t>
        </is>
      </c>
      <c r="B147" s="6" t="n"/>
      <c r="C147" s="7" t="n"/>
      <c r="D147" s="7">
        <f>IFERROR(T(VLOOKUP($A147,Players!$A:$E,2,FALSE)),"")</f>
        <v/>
      </c>
      <c r="E147" s="6" t="n">
        <v>1</v>
      </c>
      <c r="F147" s="7" t="inlineStr">
        <is>
          <t>C</t>
        </is>
      </c>
    </row>
    <row r="148">
      <c r="A148" s="8" t="inlineStr">
        <is>
          <t>Arpit Guleria</t>
        </is>
      </c>
      <c r="B148" s="9" t="n"/>
      <c r="C148" s="10" t="n"/>
      <c r="D148" s="10">
        <f>IFERROR(T(VLOOKUP($A148,Players!$A:$E,2,FALSE)),"")</f>
        <v/>
      </c>
      <c r="E148" s="9" t="n">
        <v>1</v>
      </c>
      <c r="F148" s="10" t="inlineStr">
        <is>
          <t>C</t>
        </is>
      </c>
    </row>
    <row r="149">
      <c r="A149" s="5" t="inlineStr">
        <is>
          <t>Ravichandran Smaran</t>
        </is>
      </c>
      <c r="B149" s="6" t="n"/>
      <c r="C149" s="7" t="n"/>
      <c r="D149" s="7">
        <f>IFERROR(T(VLOOKUP($A149,Players!$A:$E,2,FALSE)),"")</f>
        <v/>
      </c>
      <c r="E149" s="6" t="n">
        <v>1</v>
      </c>
      <c r="F149" s="7" t="inlineStr">
        <is>
          <t>C</t>
        </is>
      </c>
    </row>
    <row r="150">
      <c r="A150" s="8" t="inlineStr">
        <is>
          <t>Himmat Singh</t>
        </is>
      </c>
      <c r="B150" s="9" t="n"/>
      <c r="C150" s="10" t="n"/>
      <c r="D150" s="10">
        <f>IFERROR(T(VLOOKUP($A150,Players!$A:$E,2,FALSE)),"")</f>
        <v/>
      </c>
      <c r="E150" s="9" t="n">
        <v>1</v>
      </c>
      <c r="F150" s="10" t="inlineStr">
        <is>
          <t>C</t>
        </is>
      </c>
    </row>
    <row r="151">
      <c r="A151" s="5" t="inlineStr">
        <is>
          <t>Utkarsh Singh</t>
        </is>
      </c>
      <c r="B151" s="6" t="n"/>
      <c r="C151" s="7" t="n"/>
      <c r="D151" s="7">
        <f>IFERROR(T(VLOOKUP($A151,Players!$A:$E,2,FALSE)),"")</f>
        <v/>
      </c>
      <c r="E151" s="6" t="n">
        <v>1</v>
      </c>
      <c r="F151" s="7" t="inlineStr">
        <is>
          <t>C</t>
        </is>
      </c>
    </row>
    <row r="152">
      <c r="A152" s="8" t="inlineStr">
        <is>
          <t>Sandeep Warrier</t>
        </is>
      </c>
      <c r="B152" s="9" t="n"/>
      <c r="C152" s="10" t="n"/>
      <c r="D152" s="10">
        <f>IFERROR(T(VLOOKUP($A152,Players!$A:$E,2,FALSE)),"")</f>
        <v/>
      </c>
      <c r="E152" s="9" t="n">
        <v>1</v>
      </c>
      <c r="F152" s="10" t="inlineStr">
        <is>
          <t>C</t>
        </is>
      </c>
    </row>
    <row r="153">
      <c r="A153" s="5" t="inlineStr">
        <is>
          <t>Shoun Roger</t>
        </is>
      </c>
      <c r="B153" s="6" t="n"/>
      <c r="C153" s="7" t="n"/>
      <c r="D153" s="7">
        <f>IFERROR(T(VLOOKUP($A153,Players!$A:$E,2,FALSE)),"")</f>
        <v/>
      </c>
      <c r="E153" s="6" t="n">
        <v>1</v>
      </c>
      <c r="F153" s="7" t="inlineStr">
        <is>
          <t>C</t>
        </is>
      </c>
    </row>
    <row r="154">
      <c r="A154" s="8" t="inlineStr">
        <is>
          <t>Navdeep Saini</t>
        </is>
      </c>
      <c r="B154" s="9" t="n">
        <v>2.25</v>
      </c>
      <c r="C154" s="10" t="inlineStr">
        <is>
          <t>Royal Challangers Banglore</t>
        </is>
      </c>
      <c r="D154" s="10">
        <f>IFERROR(T(VLOOKUP($A154,Players!$A:$E,2,FALSE)),"")</f>
        <v/>
      </c>
      <c r="E154" s="9" t="n">
        <v>1</v>
      </c>
      <c r="F154" s="10" t="inlineStr">
        <is>
          <t>C</t>
        </is>
      </c>
    </row>
    <row r="155">
      <c r="A155" s="5" t="inlineStr">
        <is>
          <t>Umesh Yadav</t>
        </is>
      </c>
      <c r="B155" s="6" t="n">
        <v>4.25</v>
      </c>
      <c r="C155" s="7" t="inlineStr">
        <is>
          <t>Patna Panthers</t>
        </is>
      </c>
      <c r="D155" s="7">
        <f>IFERROR(T(VLOOKUP($A155,Players!$A:$E,2,FALSE)),"")</f>
        <v/>
      </c>
      <c r="E155" s="6" t="n">
        <v>1</v>
      </c>
      <c r="F155" s="7" t="inlineStr">
        <is>
          <t>C</t>
        </is>
      </c>
    </row>
    <row r="156">
      <c r="A156" s="8" t="inlineStr">
        <is>
          <t>Ishant Sharma</t>
        </is>
      </c>
      <c r="B156" s="9" t="n">
        <v>5.5</v>
      </c>
      <c r="C156" s="10" t="inlineStr">
        <is>
          <t>Punjab Kings</t>
        </is>
      </c>
      <c r="D156" s="10">
        <f>IFERROR(T(VLOOKUP($A156,Players!$A:$E,2,FALSE)),"")</f>
        <v/>
      </c>
      <c r="E156" s="9" t="n">
        <v>1</v>
      </c>
      <c r="F156" s="10" t="inlineStr">
        <is>
          <t>C</t>
        </is>
      </c>
    </row>
    <row r="157">
      <c r="A157" s="5" t="inlineStr">
        <is>
          <t>Sandeep Sharma</t>
        </is>
      </c>
      <c r="B157" s="6" t="n">
        <v>8</v>
      </c>
      <c r="C157" s="7" t="inlineStr">
        <is>
          <t>Chennai Super Kings</t>
        </is>
      </c>
      <c r="D157" s="7">
        <f>IFERROR(T(VLOOKUP($A157,Players!$A:$E,2,FALSE)),"")</f>
        <v/>
      </c>
      <c r="E157" s="6" t="n">
        <v>1</v>
      </c>
      <c r="F157" s="7" t="inlineStr">
        <is>
          <t>C</t>
        </is>
      </c>
    </row>
    <row r="158">
      <c r="A158" s="8" t="inlineStr">
        <is>
          <t>Chetan Sakariya</t>
        </is>
      </c>
      <c r="B158" s="9" t="n">
        <v>6.25</v>
      </c>
      <c r="C158" s="10" t="inlineStr">
        <is>
          <t>Imphal Igniter</t>
        </is>
      </c>
      <c r="D158" s="10">
        <f>IFERROR(T(VLOOKUP($A158,Players!$A:$E,2,FALSE)),"")</f>
        <v/>
      </c>
      <c r="E158" s="9" t="n">
        <v>1</v>
      </c>
      <c r="F158" s="10" t="inlineStr">
        <is>
          <t>C</t>
        </is>
      </c>
    </row>
    <row r="159">
      <c r="A159" s="5" t="inlineStr">
        <is>
          <t>Kartik Tyagi</t>
        </is>
      </c>
      <c r="B159" s="6" t="n">
        <v>12</v>
      </c>
      <c r="C159" s="7" t="inlineStr">
        <is>
          <t>Mumbai Indians</t>
        </is>
      </c>
      <c r="D159" s="7">
        <f>IFERROR(T(VLOOKUP($A159,Players!$A:$E,2,FALSE)),"")</f>
        <v/>
      </c>
      <c r="E159" s="6" t="n">
        <v>1</v>
      </c>
      <c r="F159" s="7" t="inlineStr">
        <is>
          <t>C</t>
        </is>
      </c>
    </row>
    <row r="160">
      <c r="A160" s="8" t="inlineStr">
        <is>
          <t>Vidwath Kaverappa</t>
        </is>
      </c>
      <c r="B160" s="9" t="n">
        <v>2</v>
      </c>
      <c r="C160" s="10" t="inlineStr">
        <is>
          <t>Imphal Igniter</t>
        </is>
      </c>
      <c r="D160" s="10">
        <f>IFERROR(T(VLOOKUP($A160,Players!$A:$E,2,FALSE)),"")</f>
        <v/>
      </c>
      <c r="E160" s="9" t="n">
        <v>1</v>
      </c>
      <c r="F160" s="10" t="inlineStr">
        <is>
          <t>C</t>
        </is>
      </c>
    </row>
    <row r="161">
      <c r="A161" s="5" t="inlineStr">
        <is>
          <t>Rasikh Dar Salam</t>
        </is>
      </c>
      <c r="B161" s="6" t="n"/>
      <c r="C161" s="7" t="n"/>
      <c r="D161" s="7">
        <f>IFERROR(T(VLOOKUP($A161,Players!$A:$E,2,FALSE)),"")</f>
        <v/>
      </c>
      <c r="E161" s="6" t="n">
        <v>1</v>
      </c>
      <c r="F161" s="7" t="inlineStr">
        <is>
          <t>C</t>
        </is>
      </c>
    </row>
    <row r="162">
      <c r="A162" s="8" t="inlineStr">
        <is>
          <t>Vaibhav Arora</t>
        </is>
      </c>
      <c r="B162" s="9" t="n"/>
      <c r="C162" s="10" t="n"/>
      <c r="D162" s="10">
        <f>IFERROR(T(VLOOKUP($A162,Players!$A:$E,2,FALSE)),"")</f>
        <v/>
      </c>
      <c r="E162" s="9" t="n">
        <v>1</v>
      </c>
      <c r="F162" s="10" t="inlineStr">
        <is>
          <t>C</t>
        </is>
      </c>
    </row>
    <row r="163">
      <c r="A163" s="5" t="inlineStr">
        <is>
          <t>Arjun Tendulkar</t>
        </is>
      </c>
      <c r="B163" s="6" t="n">
        <v>6.25</v>
      </c>
      <c r="C163" s="7" t="inlineStr">
        <is>
          <t>Chennai Super Kings</t>
        </is>
      </c>
      <c r="D163" s="7">
        <f>IFERROR(T(VLOOKUP($A163,Players!$A:$E,2,FALSE)),"")</f>
        <v/>
      </c>
      <c r="E163" s="6" t="n">
        <v>1</v>
      </c>
      <c r="F163" s="7" t="inlineStr">
        <is>
          <t>C</t>
        </is>
      </c>
    </row>
    <row r="164">
      <c r="A164" s="8" t="inlineStr">
        <is>
          <t>Xavier Bartlett</t>
        </is>
      </c>
      <c r="B164" s="9" t="n"/>
      <c r="C164" s="10" t="n"/>
      <c r="D164" s="10">
        <f>IFERROR(T(VLOOKUP($A164,Players!$A:$E,2,FALSE)),"")</f>
        <v/>
      </c>
      <c r="E164" s="9" t="n">
        <v>1</v>
      </c>
      <c r="F164" s="10" t="inlineStr">
        <is>
          <t>C</t>
        </is>
      </c>
    </row>
    <row r="165">
      <c r="A165" s="5" t="inlineStr">
        <is>
          <t>Nathan Ellis</t>
        </is>
      </c>
      <c r="B165" s="6" t="n"/>
      <c r="C165" s="7" t="n"/>
      <c r="D165" s="7">
        <f>IFERROR(T(VLOOKUP($A165,Players!$A:$E,2,FALSE)),"")</f>
        <v/>
      </c>
      <c r="E165" s="6" t="n">
        <v>1</v>
      </c>
      <c r="F165" s="7" t="inlineStr">
        <is>
          <t>C</t>
        </is>
      </c>
    </row>
    <row r="166">
      <c r="A166" s="8" t="inlineStr">
        <is>
          <t>Mustafizur Rahman</t>
        </is>
      </c>
      <c r="B166" s="9" t="n"/>
      <c r="C166" s="10" t="n"/>
      <c r="D166" s="10">
        <f>IFERROR(T(VLOOKUP($A166,Players!$A:$E,2,FALSE)),"")</f>
        <v/>
      </c>
      <c r="E166" s="9" t="n">
        <v>1</v>
      </c>
      <c r="F166" s="10" t="inlineStr">
        <is>
          <t>C</t>
        </is>
      </c>
    </row>
    <row r="167">
      <c r="A167" s="5" t="inlineStr">
        <is>
          <t>Alzarri Joseph</t>
        </is>
      </c>
      <c r="B167" s="6" t="n"/>
      <c r="C167" s="7" t="n"/>
      <c r="D167" s="7">
        <f>IFERROR(T(VLOOKUP($A167,Players!$A:$E,2,FALSE)),"")</f>
        <v/>
      </c>
      <c r="E167" s="6" t="n">
        <v>1</v>
      </c>
      <c r="F167" s="7" t="inlineStr">
        <is>
          <t>C</t>
        </is>
      </c>
    </row>
    <row r="168">
      <c r="A168" s="8" t="inlineStr">
        <is>
          <t>Fazalhaq Farooqi</t>
        </is>
      </c>
      <c r="B168" s="9" t="n"/>
      <c r="C168" s="10" t="n"/>
      <c r="D168" s="10">
        <f>IFERROR(T(VLOOKUP($A168,Players!$A:$E,2,FALSE)),"")</f>
        <v/>
      </c>
      <c r="E168" s="9" t="n">
        <v>1</v>
      </c>
      <c r="F168" s="10" t="inlineStr">
        <is>
          <t>C</t>
        </is>
      </c>
    </row>
    <row r="169">
      <c r="A169" s="5" t="inlineStr">
        <is>
          <t>Naveen-ul-Haq</t>
        </is>
      </c>
      <c r="B169" s="6" t="n"/>
      <c r="C169" s="7" t="n"/>
      <c r="D169" s="7">
        <f>IFERROR(T(VLOOKUP($A169,Players!$A:$E,2,FALSE)),"")</f>
        <v/>
      </c>
      <c r="E169" s="6" t="n">
        <v>1</v>
      </c>
      <c r="F169" s="7" t="inlineStr">
        <is>
          <t>C</t>
        </is>
      </c>
    </row>
    <row r="170">
      <c r="A170" s="8" t="inlineStr">
        <is>
          <t>Reece Topley</t>
        </is>
      </c>
      <c r="B170" s="9" t="n"/>
      <c r="C170" s="10" t="n"/>
      <c r="D170" s="10">
        <f>IFERROR(T(VLOOKUP($A170,Players!$A:$E,2,FALSE)),"")</f>
        <v/>
      </c>
      <c r="E170" s="9" t="n">
        <v>1</v>
      </c>
      <c r="F170" s="10" t="inlineStr">
        <is>
          <t>C</t>
        </is>
      </c>
    </row>
    <row r="171">
      <c r="A171" s="5" t="inlineStr">
        <is>
          <t>Blessing Muzarabani</t>
        </is>
      </c>
      <c r="B171" s="6" t="n"/>
      <c r="C171" s="7" t="n"/>
      <c r="D171" s="7">
        <f>IFERROR(T(VLOOKUP($A171,Players!$A:$E,2,FALSE)),"")</f>
        <v/>
      </c>
      <c r="E171" s="6" t="n">
        <v>1</v>
      </c>
      <c r="F171" s="7" t="inlineStr">
        <is>
          <t>C</t>
        </is>
      </c>
    </row>
    <row r="172">
      <c r="A172" s="8" t="inlineStr">
        <is>
          <t>Adam Zampa</t>
        </is>
      </c>
      <c r="B172" s="9" t="n"/>
      <c r="C172" s="10" t="n"/>
      <c r="D172" s="10">
        <f>IFERROR(T(VLOOKUP($A172,Players!$A:$E,2,FALSE)),"")</f>
        <v/>
      </c>
      <c r="E172" s="9" t="n">
        <v>1</v>
      </c>
      <c r="F172" s="10" t="inlineStr">
        <is>
          <t>C</t>
        </is>
      </c>
    </row>
    <row r="173">
      <c r="A173" s="5" t="inlineStr">
        <is>
          <t>Tabraiz Shamsi</t>
        </is>
      </c>
      <c r="B173" s="6" t="n"/>
      <c r="C173" s="7" t="n"/>
      <c r="D173" s="7">
        <f>IFERROR(T(VLOOKUP($A173,Players!$A:$E,2,FALSE)),"")</f>
        <v/>
      </c>
      <c r="E173" s="6" t="n">
        <v>1</v>
      </c>
      <c r="F173" s="7" t="inlineStr">
        <is>
          <t>C</t>
        </is>
      </c>
    </row>
    <row r="174">
      <c r="A174" s="8" t="inlineStr">
        <is>
          <t>Mujeeb Ur Rahman</t>
        </is>
      </c>
      <c r="B174" s="9" t="n"/>
      <c r="C174" s="10" t="n"/>
      <c r="D174" s="10">
        <f>IFERROR(T(VLOOKUP($A174,Players!$A:$E,2,FALSE)),"")</f>
        <v/>
      </c>
      <c r="E174" s="9" t="n">
        <v>1</v>
      </c>
      <c r="F174" s="10" t="inlineStr">
        <is>
          <t>C</t>
        </is>
      </c>
    </row>
    <row r="175">
      <c r="A175" s="5" t="inlineStr">
        <is>
          <t>Adil Rashid</t>
        </is>
      </c>
      <c r="B175" s="6" t="n"/>
      <c r="C175" s="7" t="n"/>
      <c r="D175" s="7">
        <f>IFERROR(T(VLOOKUP($A175,Players!$A:$E,2,FALSE)),"")</f>
        <v/>
      </c>
      <c r="E175" s="6" t="n">
        <v>1</v>
      </c>
      <c r="F175" s="7" t="inlineStr">
        <is>
          <t>C</t>
        </is>
      </c>
    </row>
    <row r="176">
      <c r="A176" s="8" t="inlineStr">
        <is>
          <t>Kumar Kartikeya</t>
        </is>
      </c>
      <c r="B176" s="9" t="n"/>
      <c r="C176" s="10" t="n"/>
      <c r="D176" s="10">
        <f>IFERROR(T(VLOOKUP($A176,Players!$A:$E,2,FALSE)),"")</f>
        <v/>
      </c>
      <c r="E176" s="9" t="n">
        <v>1</v>
      </c>
      <c r="F176" s="10" t="inlineStr">
        <is>
          <t>C</t>
        </is>
      </c>
    </row>
    <row r="177">
      <c r="A177" s="5" t="inlineStr">
        <is>
          <t>Shreyas Gopal</t>
        </is>
      </c>
      <c r="B177" s="6" t="n"/>
      <c r="C177" s="7" t="n"/>
      <c r="D177" s="7">
        <f>IFERROR(T(VLOOKUP($A177,Players!$A:$E,2,FALSE)),"")</f>
        <v/>
      </c>
      <c r="E177" s="6" t="n">
        <v>1</v>
      </c>
      <c r="F177" s="7" t="inlineStr">
        <is>
          <t>C</t>
        </is>
      </c>
    </row>
    <row r="178">
      <c r="A178" s="8" t="inlineStr">
        <is>
          <t>Digvesh Rathi</t>
        </is>
      </c>
      <c r="B178" s="9" t="n"/>
      <c r="C178" s="10" t="n"/>
      <c r="D178" s="10">
        <f>IFERROR(T(VLOOKUP($A178,Players!$A:$E,2,FALSE)),"")</f>
        <v/>
      </c>
      <c r="E178" s="9" t="n">
        <v>1</v>
      </c>
      <c r="F178" s="10" t="inlineStr">
        <is>
          <t>C</t>
        </is>
      </c>
    </row>
    <row r="179">
      <c r="A179" s="5" t="inlineStr">
        <is>
          <t>Yuvraj Choudhary</t>
        </is>
      </c>
      <c r="B179" s="6" t="n"/>
      <c r="C179" s="7" t="n"/>
      <c r="D179" s="7">
        <f>IFERROR(T(VLOOKUP($A179,Players!$A:$E,2,FALSE)),"")</f>
        <v/>
      </c>
      <c r="E179" s="6" t="n">
        <v>1</v>
      </c>
      <c r="F179" s="7" t="inlineStr">
        <is>
          <t>C</t>
        </is>
      </c>
    </row>
    <row r="180">
      <c r="A180" s="8" t="inlineStr">
        <is>
          <t>Zeeshan Ansari</t>
        </is>
      </c>
      <c r="B180" s="9" t="n"/>
      <c r="C180" s="10" t="n"/>
      <c r="D180" s="10">
        <f>IFERROR(T(VLOOKUP($A180,Players!$A:$E,2,FALSE)),"")</f>
        <v/>
      </c>
      <c r="E180" s="9" t="n">
        <v>1</v>
      </c>
      <c r="F180" s="10" t="inlineStr">
        <is>
          <t>C</t>
        </is>
      </c>
    </row>
    <row r="181">
      <c r="A181" s="5" t="inlineStr">
        <is>
          <t>Pravin Dubey</t>
        </is>
      </c>
      <c r="B181" s="6" t="n"/>
      <c r="C181" s="7" t="n"/>
      <c r="D181" s="7">
        <f>IFERROR(T(VLOOKUP($A181,Players!$A:$E,2,FALSE)),"")</f>
        <v/>
      </c>
      <c r="E181" s="6" t="n">
        <v>1</v>
      </c>
      <c r="F181" s="7" t="inlineStr">
        <is>
          <t>C</t>
        </is>
      </c>
    </row>
    <row r="182">
      <c r="A182" s="8" t="inlineStr">
        <is>
          <t>Murugan Ashwin</t>
        </is>
      </c>
      <c r="B182" s="9" t="n"/>
      <c r="C182" s="10" t="n"/>
      <c r="D182" s="10">
        <f>IFERROR(T(VLOOKUP($A182,Players!$A:$E,2,FALSE)),"")</f>
        <v/>
      </c>
      <c r="E182" s="9" t="n">
        <v>1</v>
      </c>
      <c r="F182" s="10" t="inlineStr">
        <is>
          <t>C</t>
        </is>
      </c>
    </row>
    <row r="183">
      <c r="A183" s="5" t="inlineStr">
        <is>
          <t>Akash Singh</t>
        </is>
      </c>
      <c r="B183" s="6" t="n"/>
      <c r="C183" s="7" t="n"/>
      <c r="D183" s="7">
        <f>IFERROR(T(VLOOKUP($A183,Players!$A:$E,2,FALSE)),"")</f>
        <v/>
      </c>
      <c r="E183" s="6" t="n">
        <v>1</v>
      </c>
      <c r="F183" s="7" t="inlineStr">
        <is>
          <t>C</t>
        </is>
      </c>
    </row>
    <row r="184">
      <c r="A184" s="8" t="inlineStr">
        <is>
          <t>Ravichandran Ashwin</t>
        </is>
      </c>
      <c r="B184" s="9" t="n"/>
      <c r="C184" s="10" t="n"/>
      <c r="D184" s="10">
        <f>IFERROR(T(VLOOKUP($A184,Players!$A:$E,2,FALSE)),"")</f>
        <v/>
      </c>
      <c r="E184" s="9" t="n">
        <v>1</v>
      </c>
      <c r="F184" s="10" t="inlineStr">
        <is>
          <t>C</t>
        </is>
      </c>
    </row>
    <row r="185">
      <c r="A185" s="5" t="inlineStr">
        <is>
          <t>Mitchell Santner</t>
        </is>
      </c>
      <c r="B185" s="6" t="n"/>
      <c r="C185" s="7" t="n"/>
      <c r="D185" s="7">
        <f>IFERROR(T(VLOOKUP($A185,Players!$A:$E,2,FALSE)),"")</f>
        <v/>
      </c>
      <c r="E185" s="6" t="n">
        <v>1</v>
      </c>
      <c r="F185" s="7" t="inlineStr">
        <is>
          <t>C</t>
        </is>
      </c>
    </row>
    <row r="186">
      <c r="A186" s="8" t="inlineStr">
        <is>
          <t>Krishnappa Gowtham</t>
        </is>
      </c>
      <c r="B186" s="9" t="n"/>
      <c r="C186" s="10" t="n"/>
      <c r="D186" s="10">
        <f>IFERROR(T(VLOOKUP($A186,Players!$A:$E,2,FALSE)),"")</f>
        <v/>
      </c>
      <c r="E186" s="9" t="n">
        <v>1</v>
      </c>
      <c r="F186" s="10" t="inlineStr">
        <is>
          <t>C</t>
        </is>
      </c>
    </row>
    <row r="187">
      <c r="A187" s="5" t="inlineStr">
        <is>
          <t>Sikandar Raza</t>
        </is>
      </c>
      <c r="B187" s="6" t="n">
        <v>7</v>
      </c>
      <c r="C187" s="7" t="inlineStr">
        <is>
          <t>Kolkata Knight Riders</t>
        </is>
      </c>
      <c r="D187" s="7">
        <f>IFERROR(T(VLOOKUP($A187,Players!$A:$E,2,FALSE)),"")</f>
        <v/>
      </c>
      <c r="E187" s="6" t="n">
        <v>1</v>
      </c>
      <c r="F187" s="7" t="inlineStr">
        <is>
          <t>C</t>
        </is>
      </c>
    </row>
    <row r="188">
      <c r="A188" s="8" t="inlineStr">
        <is>
          <t>Shakib Al Hasan</t>
        </is>
      </c>
      <c r="B188" s="9" t="n">
        <v>9</v>
      </c>
      <c r="C188" s="10" t="inlineStr">
        <is>
          <t>Guwahati Chargers</t>
        </is>
      </c>
      <c r="D188" s="10">
        <f>IFERROR(T(VLOOKUP($A188,Players!$A:$E,2,FALSE)),"")</f>
        <v/>
      </c>
      <c r="E188" s="9" t="n">
        <v>1</v>
      </c>
      <c r="F188" s="10" t="inlineStr">
        <is>
          <t>C</t>
        </is>
      </c>
    </row>
    <row r="189">
      <c r="A189" s="5" t="inlineStr">
        <is>
          <t>Daryl Mitchell</t>
        </is>
      </c>
      <c r="B189" s="6" t="n"/>
      <c r="C189" s="7" t="n"/>
      <c r="D189" s="7">
        <f>IFERROR(T(VLOOKUP($A189,Players!$A:$E,2,FALSE)),"")</f>
        <v/>
      </c>
      <c r="E189" s="6" t="n">
        <v>1</v>
      </c>
      <c r="F189" s="7" t="inlineStr">
        <is>
          <t>C</t>
        </is>
      </c>
    </row>
    <row r="190">
      <c r="A190" s="8" t="inlineStr">
        <is>
          <t>Roston Chase</t>
        </is>
      </c>
      <c r="B190" s="9" t="n"/>
      <c r="C190" s="10" t="n"/>
      <c r="D190" s="10">
        <f>IFERROR(T(VLOOKUP($A190,Players!$A:$E,2,FALSE)),"")</f>
        <v/>
      </c>
      <c r="E190" s="9" t="n">
        <v>1</v>
      </c>
      <c r="F190" s="10" t="inlineStr">
        <is>
          <t>C</t>
        </is>
      </c>
    </row>
    <row r="191">
      <c r="A191" s="5" t="inlineStr">
        <is>
          <t>Odean Smith</t>
        </is>
      </c>
      <c r="B191" s="6" t="n"/>
      <c r="C191" s="7" t="n"/>
      <c r="D191" s="7">
        <f>IFERROR(T(VLOOKUP($A191,Players!$A:$E,2,FALSE)),"")</f>
        <v/>
      </c>
      <c r="E191" s="6" t="n">
        <v>1</v>
      </c>
      <c r="F191" s="7" t="inlineStr">
        <is>
          <t>C</t>
        </is>
      </c>
    </row>
    <row r="192">
      <c r="A192" s="8" t="inlineStr">
        <is>
          <t>Chamika Karunaratne</t>
        </is>
      </c>
      <c r="B192" s="9" t="n">
        <v>0.5</v>
      </c>
      <c r="C192" s="10" t="inlineStr">
        <is>
          <t>Mumbai Indians</t>
        </is>
      </c>
      <c r="D192" s="10">
        <f>IFERROR(T(VLOOKUP($A192,Players!$A:$E,2,FALSE)),"")</f>
        <v/>
      </c>
      <c r="E192" s="9" t="n">
        <v>1</v>
      </c>
      <c r="F192" s="10" t="inlineStr">
        <is>
          <t>C</t>
        </is>
      </c>
    </row>
    <row r="193">
      <c r="A193" s="5" t="inlineStr">
        <is>
          <t>Daniel Sams</t>
        </is>
      </c>
      <c r="B193" s="6" t="n"/>
      <c r="C193" s="7" t="n"/>
      <c r="D193" s="7">
        <f>IFERROR(T(VLOOKUP($A193,Players!$A:$E,2,FALSE)),"")</f>
        <v/>
      </c>
      <c r="E193" s="6" t="n">
        <v>1</v>
      </c>
      <c r="F193" s="7" t="inlineStr">
        <is>
          <t>C</t>
        </is>
      </c>
    </row>
    <row r="194">
      <c r="A194" s="8" t="inlineStr">
        <is>
          <t>Matthew Short</t>
        </is>
      </c>
      <c r="B194" s="9" t="n"/>
      <c r="C194" s="10" t="n"/>
      <c r="D194" s="10">
        <f>IFERROR(T(VLOOKUP($A194,Players!$A:$E,2,FALSE)),"")</f>
        <v/>
      </c>
      <c r="E194" s="9" t="n">
        <v>1</v>
      </c>
      <c r="F194" s="10" t="inlineStr">
        <is>
          <t>C</t>
        </is>
      </c>
    </row>
    <row r="195">
      <c r="A195" s="5" t="inlineStr">
        <is>
          <t>Wiaan Mulder</t>
        </is>
      </c>
      <c r="B195" s="6" t="n">
        <v>4.75</v>
      </c>
      <c r="C195" s="7" t="inlineStr">
        <is>
          <t>Guwahati Chargers</t>
        </is>
      </c>
      <c r="D195" s="7">
        <f>IFERROR(T(VLOOKUP($A195,Players!$A:$E,2,FALSE)),"")</f>
        <v/>
      </c>
      <c r="E195" s="6" t="n">
        <v>1</v>
      </c>
      <c r="F195" s="7" t="inlineStr">
        <is>
          <t>C</t>
        </is>
      </c>
    </row>
    <row r="196">
      <c r="A196" s="8" t="inlineStr">
        <is>
          <t>Kyle Mayers</t>
        </is>
      </c>
      <c r="B196" s="9" t="n"/>
      <c r="C196" s="10" t="n"/>
      <c r="D196" s="10">
        <f>IFERROR(T(VLOOKUP($A196,Players!$A:$E,2,FALSE)),"")</f>
        <v/>
      </c>
      <c r="E196" s="9" t="n">
        <v>1</v>
      </c>
      <c r="F196" s="10" t="inlineStr">
        <is>
          <t>C</t>
        </is>
      </c>
    </row>
    <row r="197">
      <c r="A197" s="5" t="inlineStr">
        <is>
          <t>Dasun Shanaka</t>
        </is>
      </c>
      <c r="B197" s="6" t="n">
        <v>5.75</v>
      </c>
      <c r="C197" s="7" t="inlineStr">
        <is>
          <t>Rising Pune Super Giants</t>
        </is>
      </c>
      <c r="D197" s="7">
        <f>IFERROR(T(VLOOKUP($A197,Players!$A:$E,2,FALSE)),"")</f>
        <v/>
      </c>
      <c r="E197" s="6" t="n">
        <v>1</v>
      </c>
      <c r="F197" s="7" t="inlineStr">
        <is>
          <t>C</t>
        </is>
      </c>
    </row>
    <row r="198">
      <c r="A198" s="8" t="inlineStr">
        <is>
          <t>Jason Holder</t>
        </is>
      </c>
      <c r="B198" s="9" t="n">
        <v>14.5</v>
      </c>
      <c r="C198" s="10" t="inlineStr">
        <is>
          <t>Kochi Tuskers</t>
        </is>
      </c>
      <c r="D198" s="10">
        <f>IFERROR(T(VLOOKUP($A198,Players!$A:$E,2,FALSE)),"")</f>
        <v/>
      </c>
      <c r="E198" s="9" t="n">
        <v>1</v>
      </c>
      <c r="F198" s="10" t="inlineStr">
        <is>
          <t>C</t>
        </is>
      </c>
    </row>
    <row r="199">
      <c r="A199" s="5" t="inlineStr">
        <is>
          <t>Jimmy Neesham</t>
        </is>
      </c>
      <c r="B199" s="6" t="n">
        <v>6</v>
      </c>
      <c r="C199" s="7" t="inlineStr">
        <is>
          <t>Royal Challangers Banglore</t>
        </is>
      </c>
      <c r="D199" s="7">
        <f>IFERROR(T(VLOOKUP($A199,Players!$A:$E,2,FALSE)),"")</f>
        <v/>
      </c>
      <c r="E199" s="6" t="n">
        <v>1</v>
      </c>
      <c r="F199" s="7" t="inlineStr">
        <is>
          <t>C</t>
        </is>
      </c>
    </row>
    <row r="200">
      <c r="A200" s="8" t="inlineStr">
        <is>
          <t>Chris Green</t>
        </is>
      </c>
      <c r="B200" s="9" t="n"/>
      <c r="C200" s="10" t="n"/>
      <c r="D200" s="10">
        <f>IFERROR(T(VLOOKUP($A200,Players!$A:$E,2,FALSE)),"")</f>
        <v/>
      </c>
      <c r="E200" s="9" t="n">
        <v>1</v>
      </c>
      <c r="F200" s="10" t="inlineStr">
        <is>
          <t>C</t>
        </is>
      </c>
    </row>
    <row r="201">
      <c r="A201" s="5" t="inlineStr">
        <is>
          <t>Nishant Sindhu</t>
        </is>
      </c>
      <c r="B201" s="6" t="n"/>
      <c r="C201" s="7" t="n"/>
      <c r="D201" s="7">
        <f>IFERROR(T(VLOOKUP($A201,Players!$A:$E,2,FALSE)),"")</f>
        <v/>
      </c>
      <c r="E201" s="6" t="n">
        <v>1</v>
      </c>
      <c r="F201" s="7" t="inlineStr">
        <is>
          <t>C</t>
        </is>
      </c>
    </row>
    <row r="202">
      <c r="A202" s="8" t="inlineStr">
        <is>
          <t>Shams Mulani</t>
        </is>
      </c>
      <c r="B202" s="9" t="n"/>
      <c r="C202" s="10" t="n"/>
      <c r="D202" s="10">
        <f>IFERROR(T(VLOOKUP($A202,Players!$A:$E,2,FALSE)),"")</f>
        <v/>
      </c>
      <c r="E202" s="9" t="n">
        <v>1</v>
      </c>
      <c r="F202" s="10" t="inlineStr">
        <is>
          <t>C</t>
        </is>
      </c>
    </row>
    <row r="203">
      <c r="A203" s="5" t="inlineStr">
        <is>
          <t>Raj Bawa</t>
        </is>
      </c>
      <c r="B203" s="6" t="n"/>
      <c r="C203" s="7" t="n"/>
      <c r="D203" s="7">
        <f>IFERROR(T(VLOOKUP($A203,Players!$A:$E,2,FALSE)),"")</f>
        <v/>
      </c>
      <c r="E203" s="6" t="n">
        <v>1</v>
      </c>
      <c r="F203" s="7" t="inlineStr">
        <is>
          <t>C</t>
        </is>
      </c>
    </row>
    <row r="204">
      <c r="A204" s="8" t="inlineStr">
        <is>
          <t>Sanvir Singh</t>
        </is>
      </c>
      <c r="B204" s="9" t="n"/>
      <c r="C204" s="10" t="n"/>
      <c r="D204" s="10">
        <f>IFERROR(T(VLOOKUP($A204,Players!$A:$E,2,FALSE)),"")</f>
        <v/>
      </c>
      <c r="E204" s="9" t="n">
        <v>1</v>
      </c>
      <c r="F204" s="10" t="inlineStr">
        <is>
          <t>C</t>
        </is>
      </c>
    </row>
    <row r="205">
      <c r="A205" s="5" t="inlineStr">
        <is>
          <t>Manvanth Kumar</t>
        </is>
      </c>
      <c r="B205" s="6" t="n"/>
      <c r="C205" s="7" t="n"/>
      <c r="D205" s="7">
        <f>IFERROR(T(VLOOKUP($A205,Players!$A:$E,2,FALSE)),"")</f>
        <v/>
      </c>
      <c r="E205" s="6" t="n">
        <v>1</v>
      </c>
      <c r="F205" s="7" t="inlineStr">
        <is>
          <t>C</t>
        </is>
      </c>
    </row>
    <row r="206">
      <c r="A206" s="8" t="inlineStr">
        <is>
          <t>Bipin Saurabh</t>
        </is>
      </c>
      <c r="B206" s="9" t="n"/>
      <c r="C206" s="10" t="n"/>
      <c r="D206" s="10">
        <f>IFERROR(T(VLOOKUP($A206,Players!$A:$E,2,FALSE)),"")</f>
        <v/>
      </c>
      <c r="E206" s="9" t="n">
        <v>1</v>
      </c>
      <c r="F206" s="10" t="inlineStr">
        <is>
          <t>C</t>
        </is>
      </c>
    </row>
    <row r="207">
      <c r="A207" s="5" t="inlineStr">
        <is>
          <t>Saurabh Kumar</t>
        </is>
      </c>
      <c r="B207" s="6" t="n"/>
      <c r="C207" s="7" t="n"/>
      <c r="D207" s="7">
        <f>IFERROR(T(VLOOKUP($A207,Players!$A:$E,2,FALSE)),"")</f>
        <v/>
      </c>
      <c r="E207" s="6" t="n">
        <v>1</v>
      </c>
      <c r="F207" s="7" t="inlineStr">
        <is>
          <t>C</t>
        </is>
      </c>
    </row>
    <row r="208">
      <c r="A208" s="8" t="inlineStr">
        <is>
          <t>Harsh Dubey</t>
        </is>
      </c>
      <c r="B208" s="9" t="n"/>
      <c r="C208" s="10" t="n"/>
      <c r="D208" s="10">
        <f>IFERROR(T(VLOOKUP($A208,Players!$A:$E,2,FALSE)),"")</f>
        <v/>
      </c>
      <c r="E208" s="9" t="n">
        <v>1</v>
      </c>
      <c r="F208" s="10" t="inlineStr">
        <is>
          <t>C</t>
        </is>
      </c>
    </row>
    <row r="209">
      <c r="A209" s="5" t="inlineStr">
        <is>
          <t>Anukul Roy</t>
        </is>
      </c>
      <c r="B209" s="6" t="n"/>
      <c r="C209" s="7" t="n"/>
      <c r="D209" s="7">
        <f>IFERROR(T(VLOOKUP($A209,Players!$A:$E,2,FALSE)),"")</f>
        <v/>
      </c>
      <c r="E209" s="6" t="n">
        <v>1</v>
      </c>
      <c r="F209" s="7" t="inlineStr">
        <is>
          <t>C</t>
        </is>
      </c>
    </row>
    <row r="210">
      <c r="A210" s="8" t="inlineStr">
        <is>
          <t>Tanush Kotian</t>
        </is>
      </c>
      <c r="B210" s="9" t="n"/>
      <c r="C210" s="10" t="n"/>
      <c r="D210" s="10">
        <f>IFERROR(T(VLOOKUP($A210,Players!$A:$E,2,FALSE)),"")</f>
        <v/>
      </c>
      <c r="E210" s="9" t="n">
        <v>1</v>
      </c>
      <c r="F210" s="10" t="inlineStr">
        <is>
          <t>C</t>
        </is>
      </c>
    </row>
    <row r="211">
      <c r="A211" s="5" t="inlineStr">
        <is>
          <t>KS Bharat</t>
        </is>
      </c>
      <c r="B211" s="6" t="n"/>
      <c r="C211" s="7" t="n"/>
      <c r="D211" s="7">
        <f>IFERROR(T(VLOOKUP($A211,Players!$A:$E,2,FALSE)),"")</f>
        <v/>
      </c>
      <c r="E211" s="6" t="n">
        <v>1</v>
      </c>
      <c r="F211" s="7" t="inlineStr">
        <is>
          <t>C</t>
        </is>
      </c>
    </row>
    <row r="212">
      <c r="A212" s="8" t="inlineStr">
        <is>
          <t>Luvnith Sisodia</t>
        </is>
      </c>
      <c r="B212" s="9" t="n"/>
      <c r="C212" s="10" t="n"/>
      <c r="D212" s="10">
        <f>IFERROR(T(VLOOKUP($A212,Players!$A:$E,2,FALSE)),"")</f>
        <v/>
      </c>
      <c r="E212" s="9" t="n">
        <v>1</v>
      </c>
      <c r="F212" s="10" t="inlineStr">
        <is>
          <t>C</t>
        </is>
      </c>
    </row>
    <row r="213">
      <c r="A213" s="5" t="inlineStr">
        <is>
          <t>Kumar Kushagra</t>
        </is>
      </c>
      <c r="B213" s="6" t="n"/>
      <c r="C213" s="7" t="n"/>
      <c r="D213" s="7">
        <f>IFERROR(T(VLOOKUP($A213,Players!$A:$E,2,FALSE)),"")</f>
        <v/>
      </c>
      <c r="E213" s="6" t="n">
        <v>1</v>
      </c>
      <c r="F213" s="7" t="inlineStr">
        <is>
          <t>C</t>
        </is>
      </c>
    </row>
    <row r="214">
      <c r="A214" s="8" t="inlineStr">
        <is>
          <t>Urvil Patel</t>
        </is>
      </c>
      <c r="B214" s="9" t="n"/>
      <c r="C214" s="10" t="n"/>
      <c r="D214" s="10">
        <f>IFERROR(T(VLOOKUP($A214,Players!$A:$E,2,FALSE)),"")</f>
        <v/>
      </c>
      <c r="E214" s="9" t="n">
        <v>1</v>
      </c>
      <c r="F214" s="10" t="inlineStr">
        <is>
          <t>C</t>
        </is>
      </c>
    </row>
    <row r="215">
      <c r="A215" s="5" t="inlineStr">
        <is>
          <t>Joe Root</t>
        </is>
      </c>
      <c r="B215" s="6" t="n">
        <v>5.5</v>
      </c>
      <c r="C215" s="7" t="inlineStr">
        <is>
          <t>Imphal Igniter</t>
        </is>
      </c>
      <c r="D215" s="7">
        <f>IFERROR(T(VLOOKUP($A215,Players!$A:$E,2,FALSE)),"")</f>
        <v/>
      </c>
      <c r="E215" s="6" t="n">
        <v>0.5</v>
      </c>
      <c r="F215" s="7" t="inlineStr">
        <is>
          <t>D</t>
        </is>
      </c>
    </row>
    <row r="216">
      <c r="A216" s="8" t="inlineStr">
        <is>
          <t>Dawid Malan</t>
        </is>
      </c>
      <c r="B216" s="9" t="n">
        <v>7</v>
      </c>
      <c r="C216" s="10" t="inlineStr">
        <is>
          <t>Royal Challangers Banglore</t>
        </is>
      </c>
      <c r="D216" s="10">
        <f>IFERROR(T(VLOOKUP($A216,Players!$A:$E,2,FALSE)),"")</f>
        <v/>
      </c>
      <c r="E216" s="9" t="n">
        <v>0.5</v>
      </c>
      <c r="F216" s="10" t="inlineStr">
        <is>
          <t>D</t>
        </is>
      </c>
    </row>
    <row r="217">
      <c r="A217" s="5" t="inlineStr">
        <is>
          <t>Tom Bruce</t>
        </is>
      </c>
      <c r="B217" s="6" t="n">
        <v>0.5</v>
      </c>
      <c r="C217" s="7" t="inlineStr">
        <is>
          <t>Rajasthan Royals</t>
        </is>
      </c>
      <c r="D217" s="7">
        <f>IFERROR(T(VLOOKUP($A217,Players!$A:$E,2,FALSE)),"")</f>
        <v/>
      </c>
      <c r="E217" s="6" t="n">
        <v>0.5</v>
      </c>
      <c r="F217" s="7" t="inlineStr">
        <is>
          <t>D</t>
        </is>
      </c>
    </row>
    <row r="218">
      <c r="A218" s="8" t="inlineStr">
        <is>
          <t>Ben McKinney</t>
        </is>
      </c>
      <c r="B218" s="9" t="n">
        <v>6.5</v>
      </c>
      <c r="C218" s="10" t="inlineStr">
        <is>
          <t>Delhi Capitals</t>
        </is>
      </c>
      <c r="D218" s="10">
        <f>IFERROR(T(VLOOKUP($A218,Players!$A:$E,2,FALSE)),"")</f>
        <v/>
      </c>
      <c r="E218" s="9" t="n">
        <v>0.5</v>
      </c>
      <c r="F218" s="10" t="inlineStr">
        <is>
          <t>D</t>
        </is>
      </c>
    </row>
    <row r="219">
      <c r="A219" s="5" t="inlineStr">
        <is>
          <t>Sam Konstas</t>
        </is>
      </c>
      <c r="B219" s="6" t="n">
        <v>6</v>
      </c>
      <c r="C219" s="7" t="inlineStr">
        <is>
          <t>Punjab Kings</t>
        </is>
      </c>
      <c r="D219" s="7">
        <f>IFERROR(T(VLOOKUP($A219,Players!$A:$E,2,FALSE)),"")</f>
        <v/>
      </c>
      <c r="E219" s="6" t="n">
        <v>0.5</v>
      </c>
      <c r="F219" s="7" t="inlineStr">
        <is>
          <t>D</t>
        </is>
      </c>
    </row>
    <row r="220">
      <c r="A220" s="8" t="inlineStr">
        <is>
          <t>Hugh Weibgen</t>
        </is>
      </c>
      <c r="B220" s="9" t="n">
        <v>1</v>
      </c>
      <c r="C220" s="10" t="inlineStr">
        <is>
          <t>Mumbai Indians</t>
        </is>
      </c>
      <c r="D220" s="10">
        <f>IFERROR(T(VLOOKUP($A220,Players!$A:$E,2,FALSE)),"")</f>
        <v/>
      </c>
      <c r="E220" s="9" t="n">
        <v>0.5</v>
      </c>
      <c r="F220" s="10" t="inlineStr">
        <is>
          <t>D</t>
        </is>
      </c>
    </row>
    <row r="221">
      <c r="A221" s="5" t="inlineStr">
        <is>
          <t>Harry Dixon</t>
        </is>
      </c>
      <c r="B221" s="6" t="n">
        <v>0.5</v>
      </c>
      <c r="C221" s="7" t="inlineStr">
        <is>
          <t>Rajasthan Royals</t>
        </is>
      </c>
      <c r="D221" s="7">
        <f>IFERROR(T(VLOOKUP($A221,Players!$A:$E,2,FALSE)),"")</f>
        <v/>
      </c>
      <c r="E221" s="6" t="n">
        <v>0.5</v>
      </c>
      <c r="F221" s="7" t="inlineStr">
        <is>
          <t>D</t>
        </is>
      </c>
    </row>
    <row r="222">
      <c r="A222" s="8" t="inlineStr">
        <is>
          <t>Lhuan-dré Pretorius</t>
        </is>
      </c>
      <c r="B222" s="9" t="n">
        <v>3</v>
      </c>
      <c r="C222" s="10" t="inlineStr">
        <is>
          <t>Sunrisers Hydrabad</t>
        </is>
      </c>
      <c r="D222" s="10">
        <f>IFERROR(T(VLOOKUP($A222,Players!$A:$E,2,FALSE)),"")</f>
        <v/>
      </c>
      <c r="E222" s="9" t="n">
        <v>0.5</v>
      </c>
      <c r="F222" s="10" t="inlineStr">
        <is>
          <t>D</t>
        </is>
      </c>
    </row>
    <row r="223">
      <c r="A223" s="5" t="inlineStr">
        <is>
          <t>Ollie Peake</t>
        </is>
      </c>
      <c r="B223" s="6" t="n"/>
      <c r="C223" s="7" t="n"/>
      <c r="D223" s="7">
        <f>IFERROR(T(VLOOKUP($A223,Players!$A:$E,2,FALSE)),"")</f>
        <v/>
      </c>
      <c r="E223" s="6" t="n">
        <v>0.5</v>
      </c>
      <c r="F223" s="7" t="inlineStr">
        <is>
          <t>D</t>
        </is>
      </c>
    </row>
    <row r="224">
      <c r="A224" s="8" t="inlineStr">
        <is>
          <t>Hamza Shaikh</t>
        </is>
      </c>
      <c r="B224" s="9" t="n"/>
      <c r="C224" s="10" t="n"/>
      <c r="D224" s="10">
        <f>IFERROR(T(VLOOKUP($A224,Players!$A:$E,2,FALSE)),"")</f>
        <v/>
      </c>
      <c r="E224" s="9" t="n">
        <v>0.5</v>
      </c>
      <c r="F224" s="10" t="inlineStr">
        <is>
          <t>D</t>
        </is>
      </c>
    </row>
    <row r="225">
      <c r="A225" s="5" t="inlineStr">
        <is>
          <t>Shaheen Shah Afridi</t>
        </is>
      </c>
      <c r="B225" s="6" t="n">
        <v>6.25</v>
      </c>
      <c r="C225" s="7" t="inlineStr">
        <is>
          <t>Chennai Super Kings</t>
        </is>
      </c>
      <c r="D225" s="7">
        <f>IFERROR(T(VLOOKUP($A225,Players!$A:$E,2,FALSE)),"")</f>
        <v/>
      </c>
      <c r="E225" s="6" t="n">
        <v>0.5</v>
      </c>
      <c r="F225" s="7" t="inlineStr">
        <is>
          <t>D</t>
        </is>
      </c>
    </row>
    <row r="226">
      <c r="A226" s="8" t="inlineStr">
        <is>
          <t>Haris Rauf</t>
        </is>
      </c>
      <c r="B226" s="9" t="n">
        <v>8.5</v>
      </c>
      <c r="C226" s="10" t="inlineStr">
        <is>
          <t>Royal Challangers Banglore</t>
        </is>
      </c>
      <c r="D226" s="10">
        <f>IFERROR(T(VLOOKUP($A226,Players!$A:$E,2,FALSE)),"")</f>
        <v/>
      </c>
      <c r="E226" s="9" t="n">
        <v>0.5</v>
      </c>
      <c r="F226" s="10" t="inlineStr">
        <is>
          <t>D</t>
        </is>
      </c>
    </row>
    <row r="227">
      <c r="A227" s="5" t="inlineStr">
        <is>
          <t>Naseem Shah</t>
        </is>
      </c>
      <c r="B227" s="6" t="n">
        <v>7</v>
      </c>
      <c r="C227" s="7" t="inlineStr">
        <is>
          <t>Chennai Super Kings</t>
        </is>
      </c>
      <c r="D227" s="7">
        <f>IFERROR(T(VLOOKUP($A227,Players!$A:$E,2,FALSE)),"")</f>
        <v/>
      </c>
      <c r="E227" s="6" t="n">
        <v>0.5</v>
      </c>
      <c r="F227" s="7" t="inlineStr">
        <is>
          <t>D</t>
        </is>
      </c>
    </row>
    <row r="228">
      <c r="A228" s="8" t="inlineStr">
        <is>
          <t>Hasan Ali</t>
        </is>
      </c>
      <c r="B228" s="9" t="n">
        <v>3.5</v>
      </c>
      <c r="C228" s="10" t="inlineStr">
        <is>
          <t>Royal Challangers Banglore</t>
        </is>
      </c>
      <c r="D228" s="10">
        <f>IFERROR(T(VLOOKUP($A228,Players!$A:$E,2,FALSE)),"")</f>
        <v/>
      </c>
      <c r="E228" s="9" t="n">
        <v>0.5</v>
      </c>
      <c r="F228" s="10" t="inlineStr">
        <is>
          <t>D</t>
        </is>
      </c>
    </row>
    <row r="229">
      <c r="A229" s="5" t="inlineStr">
        <is>
          <t>Mohammad Wasim Jr.</t>
        </is>
      </c>
      <c r="B229" s="6" t="n"/>
      <c r="C229" s="7" t="n"/>
      <c r="D229" s="7">
        <f>IFERROR(T(VLOOKUP($A229,Players!$A:$E,2,FALSE)),"")</f>
        <v/>
      </c>
      <c r="E229" s="6" t="n">
        <v>0.5</v>
      </c>
      <c r="F229" s="7" t="inlineStr">
        <is>
          <t>D</t>
        </is>
      </c>
    </row>
    <row r="230">
      <c r="A230" s="8" t="inlineStr">
        <is>
          <t>Abrar Ahmed</t>
        </is>
      </c>
      <c r="B230" s="9" t="n">
        <v>8</v>
      </c>
      <c r="C230" s="10" t="inlineStr">
        <is>
          <t>Delhi Capitals</t>
        </is>
      </c>
      <c r="D230" s="10">
        <f>IFERROR(T(VLOOKUP($A230,Players!$A:$E,2,FALSE)),"")</f>
        <v/>
      </c>
      <c r="E230" s="9" t="n">
        <v>0.5</v>
      </c>
      <c r="F230" s="10" t="inlineStr">
        <is>
          <t>D</t>
        </is>
      </c>
    </row>
    <row r="231">
      <c r="A231" s="5" t="inlineStr">
        <is>
          <t>Usama Mir</t>
        </is>
      </c>
      <c r="B231" s="6" t="n">
        <v>2.25</v>
      </c>
      <c r="C231" s="7" t="inlineStr">
        <is>
          <t>Royal Challangers Banglore</t>
        </is>
      </c>
      <c r="D231" s="7">
        <f>IFERROR(T(VLOOKUP($A231,Players!$A:$E,2,FALSE)),"")</f>
        <v/>
      </c>
      <c r="E231" s="6" t="n">
        <v>0.5</v>
      </c>
      <c r="F231" s="7" t="inlineStr">
        <is>
          <t>D</t>
        </is>
      </c>
    </row>
    <row r="232">
      <c r="A232" s="8" t="inlineStr">
        <is>
          <t>Keshav Maharaj</t>
        </is>
      </c>
      <c r="B232" s="9" t="n">
        <v>8.25</v>
      </c>
      <c r="C232" s="10" t="inlineStr">
        <is>
          <t>Delhi Capitals</t>
        </is>
      </c>
      <c r="D232" s="10">
        <f>IFERROR(T(VLOOKUP($A232,Players!$A:$E,2,FALSE)),"")</f>
        <v/>
      </c>
      <c r="E232" s="9" t="n">
        <v>0.5</v>
      </c>
      <c r="F232" s="10" t="inlineStr">
        <is>
          <t>D</t>
        </is>
      </c>
    </row>
    <row r="233">
      <c r="A233" s="5" t="inlineStr">
        <is>
          <t>Matthew Potts</t>
        </is>
      </c>
      <c r="B233" s="6" t="n">
        <v>5</v>
      </c>
      <c r="C233" s="7" t="inlineStr">
        <is>
          <t>Mumbai Indians</t>
        </is>
      </c>
      <c r="D233" s="7">
        <f>IFERROR(T(VLOOKUP($A233,Players!$A:$E,2,FALSE)),"")</f>
        <v/>
      </c>
      <c r="E233" s="6" t="n">
        <v>0.5</v>
      </c>
      <c r="F233" s="7" t="inlineStr">
        <is>
          <t>D</t>
        </is>
      </c>
    </row>
    <row r="234">
      <c r="A234" s="8" t="inlineStr">
        <is>
          <t>George Scrimshaw</t>
        </is>
      </c>
      <c r="B234" s="9" t="n">
        <v>0.5</v>
      </c>
      <c r="C234" s="10" t="inlineStr">
        <is>
          <t>Royal Challangers Banglore</t>
        </is>
      </c>
      <c r="D234" s="10">
        <f>IFERROR(T(VLOOKUP($A234,Players!$A:$E,2,FALSE)),"")</f>
        <v/>
      </c>
      <c r="E234" s="9" t="n">
        <v>0.5</v>
      </c>
      <c r="F234" s="10" t="inlineStr">
        <is>
          <t>D</t>
        </is>
      </c>
    </row>
    <row r="235">
      <c r="A235" s="5" t="inlineStr">
        <is>
          <t>Tom Latham</t>
        </is>
      </c>
      <c r="B235" s="6" t="n">
        <v>4.25</v>
      </c>
      <c r="C235" s="7" t="inlineStr">
        <is>
          <t>Chennai Super Kings</t>
        </is>
      </c>
      <c r="D235" s="7">
        <f>IFERROR(T(VLOOKUP($A235,Players!$A:$E,2,FALSE)),"")</f>
        <v/>
      </c>
      <c r="E235" s="6" t="n">
        <v>0.5</v>
      </c>
      <c r="F235" s="7" t="inlineStr">
        <is>
          <t>D</t>
        </is>
      </c>
    </row>
    <row r="236">
      <c r="A236" s="8" t="inlineStr">
        <is>
          <t>Tim Seifert</t>
        </is>
      </c>
      <c r="B236" s="9" t="n">
        <v>9</v>
      </c>
      <c r="C236" s="10" t="inlineStr">
        <is>
          <t>Patna Panthers</t>
        </is>
      </c>
      <c r="D236" s="10">
        <f>IFERROR(T(VLOOKUP($A236,Players!$A:$E,2,FALSE)),"")</f>
        <v/>
      </c>
      <c r="E236" s="9" t="n">
        <v>0.5</v>
      </c>
      <c r="F236" s="10" t="inlineStr">
        <is>
          <t>D</t>
        </is>
      </c>
    </row>
    <row r="237">
      <c r="A237" s="5" t="inlineStr">
        <is>
          <t>Amit Shukla</t>
        </is>
      </c>
      <c r="B237" s="6" t="n">
        <v>1.75</v>
      </c>
      <c r="C237" s="7" t="inlineStr">
        <is>
          <t>Rising Pune Super Giants</t>
        </is>
      </c>
      <c r="D237" s="7">
        <f>IFERROR(T(VLOOKUP($A237,Players!$A:$E,2,FALSE)),"")</f>
        <v/>
      </c>
      <c r="E237" s="6" t="n">
        <v>0.5</v>
      </c>
      <c r="F237" s="7" t="inlineStr">
        <is>
          <t>D</t>
        </is>
      </c>
    </row>
    <row r="238">
      <c r="A238" s="8" t="inlineStr">
        <is>
          <t>Devang Karamta</t>
        </is>
      </c>
      <c r="B238" s="9" t="n"/>
      <c r="C238" s="10" t="n"/>
      <c r="D238" s="10">
        <f>IFERROR(T(VLOOKUP($A238,Players!$A:$E,2,FALSE)),"")</f>
        <v/>
      </c>
      <c r="E238" s="9" t="n">
        <v>0.5</v>
      </c>
      <c r="F238" s="10" t="inlineStr">
        <is>
          <t>D</t>
        </is>
      </c>
    </row>
    <row r="239">
      <c r="A239" s="5" t="inlineStr">
        <is>
          <t>Yuvraj Singh Dodiya</t>
        </is>
      </c>
      <c r="B239" s="6" t="n"/>
      <c r="C239" s="7" t="n"/>
      <c r="D239" s="7">
        <f>IFERROR(T(VLOOKUP($A239,Players!$A:$E,2,FALSE)),"")</f>
        <v/>
      </c>
      <c r="E239" s="6" t="n">
        <v>0.5</v>
      </c>
      <c r="F239" s="7" t="inlineStr">
        <is>
          <t>D</t>
        </is>
      </c>
    </row>
    <row r="240">
      <c r="A240" s="8" t="inlineStr">
        <is>
          <t>Parth Rekhade</t>
        </is>
      </c>
      <c r="B240" s="9" t="n">
        <v>1.25</v>
      </c>
      <c r="C240" s="10" t="inlineStr">
        <is>
          <t>Royal Challangers Banglore</t>
        </is>
      </c>
      <c r="D240" s="10">
        <f>IFERROR(T(VLOOKUP($A240,Players!$A:$E,2,FALSE)),"")</f>
        <v/>
      </c>
      <c r="E240" s="9" t="n">
        <v>0.5</v>
      </c>
      <c r="F240" s="10" t="inlineStr">
        <is>
          <t>D</t>
        </is>
      </c>
    </row>
    <row r="241">
      <c r="A241" s="5" t="inlineStr">
        <is>
          <t>Siddharth Desai</t>
        </is>
      </c>
      <c r="B241" s="6" t="n">
        <v>2.75</v>
      </c>
      <c r="C241" s="7" t="inlineStr">
        <is>
          <t>Imphal Igniter</t>
        </is>
      </c>
      <c r="D241" s="7">
        <f>IFERROR(T(VLOOKUP($A241,Players!$A:$E,2,FALSE)),"")</f>
        <v/>
      </c>
      <c r="E241" s="6" t="n">
        <v>0.5</v>
      </c>
      <c r="F241" s="7" t="inlineStr">
        <is>
          <t>D</t>
        </is>
      </c>
    </row>
    <row r="242">
      <c r="A242" s="8" t="inlineStr">
        <is>
          <t>Dharmendrasinh Jadeja</t>
        </is>
      </c>
      <c r="B242" s="9" t="n">
        <v>3.25</v>
      </c>
      <c r="C242" s="10" t="inlineStr">
        <is>
          <t>Kolkata Knight Riders</t>
        </is>
      </c>
      <c r="D242" s="10">
        <f>IFERROR(T(VLOOKUP($A242,Players!$A:$E,2,FALSE)),"")</f>
        <v/>
      </c>
      <c r="E242" s="9" t="n">
        <v>0.5</v>
      </c>
      <c r="F242" s="10" t="inlineStr">
        <is>
          <t>D</t>
        </is>
      </c>
    </row>
    <row r="243">
      <c r="A243" s="5" t="inlineStr">
        <is>
          <t>Karan Patel</t>
        </is>
      </c>
      <c r="B243" s="6" t="n"/>
      <c r="C243" s="7" t="n"/>
      <c r="D243" s="7">
        <f>IFERROR(T(VLOOKUP($A243,Players!$A:$E,2,FALSE)),"")</f>
        <v/>
      </c>
      <c r="E243" s="6" t="n">
        <v>0.5</v>
      </c>
      <c r="F243" s="7" t="inlineStr">
        <is>
          <t>D</t>
        </is>
      </c>
    </row>
    <row r="244">
      <c r="A244" s="8" t="inlineStr">
        <is>
          <t>Jaymeet Patel</t>
        </is>
      </c>
      <c r="B244" s="9" t="n"/>
      <c r="C244" s="10" t="n"/>
      <c r="D244" s="10">
        <f>IFERROR(T(VLOOKUP($A244,Players!$A:$E,2,FALSE)),"")</f>
        <v/>
      </c>
      <c r="E244" s="9" t="n">
        <v>0.5</v>
      </c>
      <c r="F244" s="10" t="inlineStr">
        <is>
          <t>D</t>
        </is>
      </c>
    </row>
    <row r="245">
      <c r="A245" s="5" t="inlineStr">
        <is>
          <t>Het Patel</t>
        </is>
      </c>
      <c r="B245" s="6" t="n"/>
      <c r="C245" s="7" t="n"/>
      <c r="D245" s="7">
        <f>IFERROR(T(VLOOKUP($A245,Players!$A:$E,2,FALSE)),"")</f>
        <v/>
      </c>
      <c r="E245" s="6" t="n">
        <v>0.5</v>
      </c>
      <c r="F245" s="7" t="inlineStr">
        <is>
          <t>D</t>
        </is>
      </c>
    </row>
    <row r="246">
      <c r="A246" s="8" t="inlineStr">
        <is>
          <t>Urvil Panchal</t>
        </is>
      </c>
      <c r="B246" s="9" t="n"/>
      <c r="C246" s="10" t="n"/>
      <c r="D246" s="10">
        <f>IFERROR(T(VLOOKUP($A246,Players!$A:$E,2,FALSE)),"")</f>
        <v/>
      </c>
      <c r="E246" s="9" t="n">
        <v>0.5</v>
      </c>
      <c r="F246" s="10" t="inlineStr">
        <is>
          <t>D</t>
        </is>
      </c>
    </row>
    <row r="247">
      <c r="A247" s="5" t="inlineStr">
        <is>
          <t>Akshit Goel</t>
        </is>
      </c>
      <c r="B247" s="6" t="n"/>
      <c r="C247" s="7" t="n"/>
      <c r="D247" s="7">
        <f>IFERROR(T(VLOOKUP($A247,Players!$A:$E,2,FALSE)),"")</f>
        <v/>
      </c>
      <c r="E247" s="6" t="n">
        <v>0.5</v>
      </c>
      <c r="F247" s="7" t="inlineStr">
        <is>
          <t>D</t>
        </is>
      </c>
    </row>
    <row r="248">
      <c r="A248" s="8" t="inlineStr">
        <is>
          <t>Nishchal Dahiya</t>
        </is>
      </c>
      <c r="B248" s="9" t="n"/>
      <c r="C248" s="10" t="n"/>
      <c r="D248" s="10">
        <f>IFERROR(T(VLOOKUP($A248,Players!$A:$E,2,FALSE)),"")</f>
        <v/>
      </c>
      <c r="E248" s="9" t="n">
        <v>0.5</v>
      </c>
      <c r="F248" s="10" t="inlineStr">
        <is>
          <t>D</t>
        </is>
      </c>
    </row>
    <row r="249">
      <c r="A249" s="5" t="inlineStr">
        <is>
          <t>Dinesh Bana</t>
        </is>
      </c>
      <c r="B249" s="6" t="n">
        <v>1</v>
      </c>
      <c r="C249" s="7" t="inlineStr">
        <is>
          <t>Royal Challangers Banglore</t>
        </is>
      </c>
      <c r="D249" s="7">
        <f>IFERROR(T(VLOOKUP($A249,Players!$A:$E,2,FALSE)),"")</f>
        <v/>
      </c>
      <c r="E249" s="6" t="n">
        <v>0.5</v>
      </c>
      <c r="F249" s="7" t="inlineStr">
        <is>
          <t>D</t>
        </is>
      </c>
    </row>
    <row r="250">
      <c r="A250" s="8" t="inlineStr">
        <is>
          <t>Ankit Kumar</t>
        </is>
      </c>
      <c r="B250" s="9" t="n"/>
      <c r="C250" s="10" t="n"/>
      <c r="D250" s="10">
        <f>IFERROR(T(VLOOKUP($A250,Players!$A:$E,2,FALSE)),"")</f>
        <v/>
      </c>
      <c r="E250" s="9" t="n">
        <v>0.5</v>
      </c>
      <c r="F250" s="10" t="inlineStr">
        <is>
          <t>D</t>
        </is>
      </c>
    </row>
    <row r="251">
      <c r="A251" s="5" t="inlineStr">
        <is>
          <t>Kunal Singh</t>
        </is>
      </c>
      <c r="B251" s="6" t="n"/>
      <c r="C251" s="7" t="n"/>
      <c r="D251" s="7">
        <f>IFERROR(T(VLOOKUP($A251,Players!$A:$E,2,FALSE)),"")</f>
        <v/>
      </c>
      <c r="E251" s="6" t="n">
        <v>0.5</v>
      </c>
      <c r="F251" s="7" t="inlineStr">
        <is>
          <t>D</t>
        </is>
      </c>
    </row>
    <row r="252">
      <c r="A252" s="8" t="inlineStr">
        <is>
          <t>Arslan Khan</t>
        </is>
      </c>
      <c r="B252" s="9" t="n"/>
      <c r="C252" s="10" t="n"/>
      <c r="D252" s="10">
        <f>IFERROR(T(VLOOKUP($A252,Players!$A:$E,2,FALSE)),"")</f>
        <v/>
      </c>
      <c r="E252" s="9" t="n">
        <v>0.5</v>
      </c>
      <c r="F252" s="10" t="inlineStr">
        <is>
          <t>D</t>
        </is>
      </c>
    </row>
    <row r="253">
      <c r="A253" s="5" t="inlineStr">
        <is>
          <t>Paras Dogra</t>
        </is>
      </c>
      <c r="B253" s="6" t="n"/>
      <c r="C253" s="7" t="n"/>
      <c r="D253" s="7">
        <f>IFERROR(T(VLOOKUP($A253,Players!$A:$E,2,FALSE)),"")</f>
        <v/>
      </c>
      <c r="E253" s="6" t="n">
        <v>0.5</v>
      </c>
      <c r="F253" s="7" t="inlineStr">
        <is>
          <t>D</t>
        </is>
      </c>
    </row>
    <row r="254">
      <c r="A254" s="8" t="inlineStr">
        <is>
          <t>Arun Karthik</t>
        </is>
      </c>
      <c r="B254" s="9" t="n"/>
      <c r="C254" s="10" t="n"/>
      <c r="D254" s="10">
        <f>IFERROR(T(VLOOKUP($A254,Players!$A:$E,2,FALSE)),"")</f>
        <v/>
      </c>
      <c r="E254" s="9" t="n">
        <v>0.5</v>
      </c>
      <c r="F254" s="10" t="inlineStr">
        <is>
          <t>D</t>
        </is>
      </c>
    </row>
    <row r="255">
      <c r="A255" s="5" t="inlineStr">
        <is>
          <t>Baba Aparajith</t>
        </is>
      </c>
      <c r="B255" s="6" t="n"/>
      <c r="C255" s="7" t="n"/>
      <c r="D255" s="7">
        <f>IFERROR(T(VLOOKUP($A255,Players!$A:$E,2,FALSE)),"")</f>
        <v/>
      </c>
      <c r="E255" s="6" t="n">
        <v>0.5</v>
      </c>
      <c r="F255" s="7" t="inlineStr">
        <is>
          <t>D</t>
        </is>
      </c>
    </row>
    <row r="256">
      <c r="A256" s="8" t="inlineStr">
        <is>
          <t>Baba Indrajith</t>
        </is>
      </c>
      <c r="B256" s="9" t="n">
        <v>2.5</v>
      </c>
      <c r="C256" s="10" t="inlineStr">
        <is>
          <t>Sunrisers Hydrabad</t>
        </is>
      </c>
      <c r="D256" s="10">
        <f>IFERROR(T(VLOOKUP($A256,Players!$A:$E,2,FALSE)),"")</f>
        <v/>
      </c>
      <c r="E256" s="9" t="n">
        <v>0.5</v>
      </c>
      <c r="F256" s="10" t="inlineStr">
        <is>
          <t>D</t>
        </is>
      </c>
    </row>
    <row r="257">
      <c r="A257" s="5" t="inlineStr">
        <is>
          <t>C. Andre Siddarth</t>
        </is>
      </c>
      <c r="B257" s="6" t="n"/>
      <c r="C257" s="7" t="n"/>
      <c r="D257" s="7">
        <f>IFERROR(T(VLOOKUP($A257,Players!$A:$E,2,FALSE)),"")</f>
        <v/>
      </c>
      <c r="E257" s="6" t="n">
        <v>0.5</v>
      </c>
      <c r="F257" s="7" t="inlineStr">
        <is>
          <t>D</t>
        </is>
      </c>
    </row>
    <row r="258">
      <c r="A258" s="8" t="inlineStr">
        <is>
          <t>Pradosh Ranjan Paul</t>
        </is>
      </c>
      <c r="B258" s="9" t="n"/>
      <c r="C258" s="10" t="n"/>
      <c r="D258" s="10">
        <f>IFERROR(T(VLOOKUP($A258,Players!$A:$E,2,FALSE)),"")</f>
        <v/>
      </c>
      <c r="E258" s="9" t="n">
        <v>0.5</v>
      </c>
      <c r="F258" s="10" t="inlineStr">
        <is>
          <t>D</t>
        </is>
      </c>
    </row>
    <row r="259">
      <c r="A259" s="5" t="inlineStr">
        <is>
          <t>K. Easwaran</t>
        </is>
      </c>
      <c r="B259" s="6" t="n"/>
      <c r="C259" s="7" t="n"/>
      <c r="D259" s="7">
        <f>IFERROR(T(VLOOKUP($A259,Players!$A:$E,2,FALSE)),"")</f>
        <v/>
      </c>
      <c r="E259" s="6" t="n">
        <v>0.5</v>
      </c>
      <c r="F259" s="7" t="inlineStr">
        <is>
          <t>D</t>
        </is>
      </c>
    </row>
    <row r="260">
      <c r="A260" s="8" t="inlineStr">
        <is>
          <t>Nidhish Rajagopal</t>
        </is>
      </c>
      <c r="B260" s="9" t="n"/>
      <c r="C260" s="10" t="n"/>
      <c r="D260" s="10">
        <f>IFERROR(T(VLOOKUP($A260,Players!$A:$E,2,FALSE)),"")</f>
        <v/>
      </c>
      <c r="E260" s="9" t="n">
        <v>0.5</v>
      </c>
      <c r="F260" s="10" t="inlineStr">
        <is>
          <t>D</t>
        </is>
      </c>
    </row>
    <row r="261">
      <c r="A261" s="5" t="inlineStr">
        <is>
          <t>R. Sonu Yadav</t>
        </is>
      </c>
      <c r="B261" s="6" t="n"/>
      <c r="C261" s="7" t="n"/>
      <c r="D261" s="7">
        <f>IFERROR(T(VLOOKUP($A261,Players!$A:$E,2,FALSE)),"")</f>
        <v/>
      </c>
      <c r="E261" s="6" t="n">
        <v>0.5</v>
      </c>
      <c r="F261" s="7" t="inlineStr">
        <is>
          <t>D</t>
        </is>
      </c>
    </row>
    <row r="262">
      <c r="A262" s="8" t="inlineStr">
        <is>
          <t>Sachin Baby</t>
        </is>
      </c>
      <c r="B262" s="9" t="n">
        <v>1.75</v>
      </c>
      <c r="C262" s="10" t="inlineStr">
        <is>
          <t>Mumbai Indians</t>
        </is>
      </c>
      <c r="D262" s="10">
        <f>IFERROR(T(VLOOKUP($A262,Players!$A:$E,2,FALSE)),"")</f>
        <v/>
      </c>
      <c r="E262" s="9" t="n">
        <v>0.5</v>
      </c>
      <c r="F262" s="10" t="inlineStr">
        <is>
          <t>D</t>
        </is>
      </c>
    </row>
    <row r="263">
      <c r="A263" s="5" t="inlineStr">
        <is>
          <t>Akshay Chandran</t>
        </is>
      </c>
      <c r="B263" s="6" t="n"/>
      <c r="C263" s="7" t="n"/>
      <c r="D263" s="7">
        <f>IFERROR(T(VLOOKUP($A263,Players!$A:$E,2,FALSE)),"")</f>
        <v/>
      </c>
      <c r="E263" s="6" t="n">
        <v>0.5</v>
      </c>
      <c r="F263" s="7" t="inlineStr">
        <is>
          <t>D</t>
        </is>
      </c>
    </row>
    <row r="264">
      <c r="A264" s="8" t="inlineStr">
        <is>
          <t>Jalaj Saxena</t>
        </is>
      </c>
      <c r="B264" s="9" t="n"/>
      <c r="C264" s="10" t="n"/>
      <c r="D264" s="10">
        <f>IFERROR(T(VLOOKUP($A264,Players!$A:$E,2,FALSE)),"")</f>
        <v/>
      </c>
      <c r="E264" s="9" t="n">
        <v>0.5</v>
      </c>
      <c r="F264" s="10" t="inlineStr">
        <is>
          <t>D</t>
        </is>
      </c>
    </row>
    <row r="265">
      <c r="A265" s="5" t="inlineStr">
        <is>
          <t>Krishna Prasad</t>
        </is>
      </c>
      <c r="B265" s="6" t="n"/>
      <c r="C265" s="7" t="n"/>
      <c r="D265" s="7">
        <f>IFERROR(T(VLOOKUP($A265,Players!$A:$E,2,FALSE)),"")</f>
        <v/>
      </c>
      <c r="E265" s="6" t="n">
        <v>0.5</v>
      </c>
      <c r="F265" s="7" t="inlineStr">
        <is>
          <t>D</t>
        </is>
      </c>
    </row>
    <row r="266">
      <c r="A266" s="8" t="inlineStr">
        <is>
          <t>Akhil Scaria</t>
        </is>
      </c>
      <c r="B266" s="9" t="n"/>
      <c r="C266" s="10" t="n"/>
      <c r="D266" s="10">
        <f>IFERROR(T(VLOOKUP($A266,Players!$A:$E,2,FALSE)),"")</f>
        <v/>
      </c>
      <c r="E266" s="9" t="n">
        <v>0.5</v>
      </c>
      <c r="F266" s="10" t="inlineStr">
        <is>
          <t>D</t>
        </is>
      </c>
    </row>
    <row r="267">
      <c r="A267" s="5" t="inlineStr">
        <is>
          <t>Devdhar Kalal</t>
        </is>
      </c>
      <c r="B267" s="6" t="n"/>
      <c r="C267" s="7" t="n"/>
      <c r="D267" s="7">
        <f>IFERROR(T(VLOOKUP($A267,Players!$A:$E,2,FALSE)),"")</f>
        <v/>
      </c>
      <c r="E267" s="6" t="n">
        <v>0.5</v>
      </c>
      <c r="F267" s="7" t="inlineStr">
        <is>
          <t>D</t>
        </is>
      </c>
    </row>
    <row r="268">
      <c r="A268" s="8" t="inlineStr">
        <is>
          <t>Snehal Kauthankar</t>
        </is>
      </c>
      <c r="B268" s="9" t="n"/>
      <c r="C268" s="10" t="n"/>
      <c r="D268" s="10">
        <f>IFERROR(T(VLOOKUP($A268,Players!$A:$E,2,FALSE)),"")</f>
        <v/>
      </c>
      <c r="E268" s="9" t="n">
        <v>0.5</v>
      </c>
      <c r="F268" s="10" t="inlineStr">
        <is>
          <t>D</t>
        </is>
      </c>
    </row>
    <row r="269">
      <c r="A269" s="5" t="inlineStr">
        <is>
          <t>Darshan Misal</t>
        </is>
      </c>
      <c r="B269" s="6" t="n"/>
      <c r="C269" s="7" t="n"/>
      <c r="D269" s="7">
        <f>IFERROR(T(VLOOKUP($A269,Players!$A:$E,2,FALSE)),"")</f>
        <v/>
      </c>
      <c r="E269" s="6" t="n">
        <v>0.5</v>
      </c>
      <c r="F269" s="7" t="inlineStr">
        <is>
          <t>D</t>
        </is>
      </c>
    </row>
    <row r="270">
      <c r="A270" s="8" t="inlineStr">
        <is>
          <t>Sumit Kumar</t>
        </is>
      </c>
      <c r="B270" s="9" t="n"/>
      <c r="C270" s="10" t="n"/>
      <c r="D270" s="10">
        <f>IFERROR(T(VLOOKUP($A270,Players!$A:$E,2,FALSE)),"")</f>
        <v/>
      </c>
      <c r="E270" s="9" t="n">
        <v>0.5</v>
      </c>
      <c r="F270" s="10" t="inlineStr">
        <is>
          <t>D</t>
        </is>
      </c>
    </row>
    <row r="271">
      <c r="A271" s="5" t="inlineStr">
        <is>
          <t>Mayank Dagar</t>
        </is>
      </c>
      <c r="B271" s="6" t="n">
        <v>1.5</v>
      </c>
      <c r="C271" s="7" t="inlineStr">
        <is>
          <t>Lucknow Super Giants</t>
        </is>
      </c>
      <c r="D271" s="7">
        <f>IFERROR(T(VLOOKUP($A271,Players!$A:$E,2,FALSE)),"")</f>
        <v/>
      </c>
      <c r="E271" s="6" t="n">
        <v>0.5</v>
      </c>
      <c r="F271" s="7" t="inlineStr">
        <is>
          <t>D</t>
        </is>
      </c>
    </row>
    <row r="272">
      <c r="A272" s="8" t="inlineStr">
        <is>
          <t>Nikhil Gangta</t>
        </is>
      </c>
      <c r="B272" s="9" t="n">
        <v>0.5</v>
      </c>
      <c r="C272" s="10" t="inlineStr">
        <is>
          <t>Kochi Tuskers</t>
        </is>
      </c>
      <c r="D272" s="10">
        <f>IFERROR(T(VLOOKUP($A272,Players!$A:$E,2,FALSE)),"")</f>
        <v/>
      </c>
      <c r="E272" s="9" t="n">
        <v>0.5</v>
      </c>
      <c r="F272" s="10" t="inlineStr">
        <is>
          <t>D</t>
        </is>
      </c>
    </row>
    <row r="273">
      <c r="A273" s="5" t="inlineStr">
        <is>
          <t>Ekant Sen</t>
        </is>
      </c>
      <c r="B273" s="6" t="n"/>
      <c r="C273" s="7" t="n"/>
      <c r="D273" s="7">
        <f>IFERROR(T(VLOOKUP($A273,Players!$A:$E,2,FALSE)),"")</f>
        <v/>
      </c>
      <c r="E273" s="6" t="n">
        <v>0.5</v>
      </c>
      <c r="F273" s="7" t="inlineStr">
        <is>
          <t>D</t>
        </is>
      </c>
    </row>
    <row r="274">
      <c r="A274" s="8" t="inlineStr">
        <is>
          <t>Shubhranshu Senapati</t>
        </is>
      </c>
      <c r="B274" s="9" t="n"/>
      <c r="C274" s="10" t="n"/>
      <c r="D274" s="10">
        <f>IFERROR(T(VLOOKUP($A274,Players!$A:$E,2,FALSE)),"")</f>
        <v/>
      </c>
      <c r="E274" s="9" t="n">
        <v>0.5</v>
      </c>
      <c r="F274" s="10" t="inlineStr">
        <is>
          <t>D</t>
        </is>
      </c>
    </row>
    <row r="275">
      <c r="A275" s="5" t="inlineStr">
        <is>
          <t>Govinda Poddar</t>
        </is>
      </c>
      <c r="B275" s="6" t="n">
        <v>0.5</v>
      </c>
      <c r="C275" s="7" t="inlineStr">
        <is>
          <t>Gujarat Titans</t>
        </is>
      </c>
      <c r="D275" s="7">
        <f>IFERROR(T(VLOOKUP($A275,Players!$A:$E,2,FALSE)),"")</f>
        <v/>
      </c>
      <c r="E275" s="6" t="n">
        <v>0.5</v>
      </c>
      <c r="F275" s="7" t="inlineStr">
        <is>
          <t>D</t>
        </is>
      </c>
    </row>
    <row r="276">
      <c r="A276" s="8" t="inlineStr">
        <is>
          <t>Subhranshu Mishra</t>
        </is>
      </c>
      <c r="B276" s="9" t="n"/>
      <c r="C276" s="10" t="n"/>
      <c r="D276" s="10">
        <f>IFERROR(T(VLOOKUP($A276,Players!$A:$E,2,FALSE)),"")</f>
        <v/>
      </c>
      <c r="E276" s="9" t="n">
        <v>0.5</v>
      </c>
      <c r="F276" s="10" t="inlineStr">
        <is>
          <t>D</t>
        </is>
      </c>
    </row>
    <row r="277">
      <c r="A277" s="5" t="inlineStr">
        <is>
          <t>Avneesh Sudha</t>
        </is>
      </c>
      <c r="B277" s="6" t="n"/>
      <c r="C277" s="7" t="n"/>
      <c r="D277" s="7">
        <f>IFERROR(T(VLOOKUP($A277,Players!$A:$E,2,FALSE)),"")</f>
        <v/>
      </c>
      <c r="E277" s="6" t="n">
        <v>0.5</v>
      </c>
      <c r="F277" s="7" t="inlineStr">
        <is>
          <t>D</t>
        </is>
      </c>
    </row>
    <row r="278">
      <c r="A278" s="8" t="inlineStr">
        <is>
          <t>Kunal Chandela</t>
        </is>
      </c>
      <c r="B278" s="9" t="n"/>
      <c r="C278" s="10" t="n"/>
      <c r="D278" s="10">
        <f>IFERROR(T(VLOOKUP($A278,Players!$A:$E,2,FALSE)),"")</f>
        <v/>
      </c>
      <c r="E278" s="9" t="n">
        <v>0.5</v>
      </c>
      <c r="F278" s="10" t="inlineStr">
        <is>
          <t>D</t>
        </is>
      </c>
    </row>
    <row r="279">
      <c r="A279" s="5" t="inlineStr">
        <is>
          <t>Aryan Borah</t>
        </is>
      </c>
      <c r="B279" s="6" t="n"/>
      <c r="C279" s="7" t="n"/>
      <c r="D279" s="7">
        <f>IFERROR(T(VLOOKUP($A279,Players!$A:$E,2,FALSE)),"")</f>
        <v/>
      </c>
      <c r="E279" s="6" t="n">
        <v>0.5</v>
      </c>
      <c r="F279" s="7" t="inlineStr">
        <is>
          <t>D</t>
        </is>
      </c>
    </row>
    <row r="280">
      <c r="A280" s="8" t="inlineStr">
        <is>
          <t>Denish Das</t>
        </is>
      </c>
      <c r="B280" s="9" t="n"/>
      <c r="C280" s="10" t="n"/>
      <c r="D280" s="10">
        <f>IFERROR(T(VLOOKUP($A280,Players!$A:$E,2,FALSE)),"")</f>
        <v/>
      </c>
      <c r="E280" s="9" t="n">
        <v>0.5</v>
      </c>
      <c r="F280" s="10" t="inlineStr">
        <is>
          <t>D</t>
        </is>
      </c>
    </row>
    <row r="281">
      <c r="A281" s="5" t="inlineStr">
        <is>
          <t>Rahul Hazarika</t>
        </is>
      </c>
      <c r="B281" s="6" t="n"/>
      <c r="C281" s="7" t="n"/>
      <c r="D281" s="7">
        <f>IFERROR(T(VLOOKUP($A281,Players!$A:$E,2,FALSE)),"")</f>
        <v/>
      </c>
      <c r="E281" s="6" t="n">
        <v>0.5</v>
      </c>
      <c r="F281" s="7" t="inlineStr">
        <is>
          <t>D</t>
        </is>
      </c>
    </row>
    <row r="282">
      <c r="A282" s="8" t="inlineStr">
        <is>
          <t>Sudip Chatterjee</t>
        </is>
      </c>
      <c r="B282" s="9" t="n"/>
      <c r="C282" s="10" t="n"/>
      <c r="D282" s="10">
        <f>IFERROR(T(VLOOKUP($A282,Players!$A:$E,2,FALSE)),"")</f>
        <v/>
      </c>
      <c r="E282" s="9" t="n">
        <v>0.5</v>
      </c>
      <c r="F282" s="10" t="inlineStr">
        <is>
          <t>D</t>
        </is>
      </c>
    </row>
    <row r="283">
      <c r="A283" s="5" t="inlineStr">
        <is>
          <t>Sudip Kumar Gharami</t>
        </is>
      </c>
      <c r="B283" s="6" t="n"/>
      <c r="C283" s="7" t="n"/>
      <c r="D283" s="7">
        <f>IFERROR(T(VLOOKUP($A283,Players!$A:$E,2,FALSE)),"")</f>
        <v/>
      </c>
      <c r="E283" s="6" t="n">
        <v>0.5</v>
      </c>
      <c r="F283" s="7" t="inlineStr">
        <is>
          <t>D</t>
        </is>
      </c>
    </row>
    <row r="284">
      <c r="A284" s="8" t="inlineStr">
        <is>
          <t>Abishek Porel</t>
        </is>
      </c>
      <c r="B284" s="9" t="n"/>
      <c r="C284" s="10" t="n"/>
      <c r="D284" s="10">
        <f>IFERROR(T(VLOOKUP($A284,Players!$A:$E,2,FALSE)),"")</f>
        <v/>
      </c>
      <c r="E284" s="9" t="n">
        <v>0.5</v>
      </c>
      <c r="F284" s="10" t="inlineStr">
        <is>
          <t>D</t>
        </is>
      </c>
    </row>
    <row r="285">
      <c r="A285" s="5" t="inlineStr">
        <is>
          <t>Mohammad Amir</t>
        </is>
      </c>
      <c r="B285" s="6" t="n">
        <v>2.25</v>
      </c>
      <c r="C285" s="7" t="inlineStr">
        <is>
          <t>Chennai Super Kings</t>
        </is>
      </c>
      <c r="D285" s="7">
        <f>IFERROR(T(VLOOKUP($A285,Players!$A:$E,2,FALSE)),"")</f>
        <v/>
      </c>
      <c r="E285" s="6" t="n"/>
      <c r="F285" s="7" t="n"/>
    </row>
    <row r="286">
      <c r="A286" s="8" t="inlineStr">
        <is>
          <t>Akhil</t>
        </is>
      </c>
      <c r="B286" s="9" t="n">
        <v>0.5</v>
      </c>
      <c r="C286" s="10" t="inlineStr">
        <is>
          <t>Chennai Super Kings</t>
        </is>
      </c>
      <c r="D286" s="10">
        <f>IFERROR(T(VLOOKUP($A286,Players!$A:$E,2,FALSE)),"")</f>
        <v/>
      </c>
      <c r="E286" s="9" t="n"/>
      <c r="F286" s="10" t="n"/>
    </row>
    <row r="287">
      <c r="A287" s="5" t="inlineStr">
        <is>
          <t>Abhishek Powel</t>
        </is>
      </c>
      <c r="B287" s="6" t="n">
        <v>8.5</v>
      </c>
      <c r="C287" s="7" t="inlineStr">
        <is>
          <t>Rising Pune Super Giants</t>
        </is>
      </c>
      <c r="D287" s="7">
        <f>IFERROR(T(VLOOKUP($A287,Players!$A:$E,2,FALSE)),"")</f>
        <v/>
      </c>
      <c r="E287" s="6" t="n"/>
      <c r="F287" s="7" t="n"/>
    </row>
    <row r="288">
      <c r="A288" s="8" t="n"/>
      <c r="B288" s="9" t="n"/>
      <c r="C288" s="10" t="n"/>
      <c r="D288" s="10">
        <f>IFERROR(T(VLOOKUP($A288,Players!$A:$E,2,FALSE)),"")</f>
        <v/>
      </c>
      <c r="E288" s="9" t="n"/>
      <c r="F288" s="10" t="n"/>
    </row>
    <row r="289">
      <c r="A289" s="5" t="n"/>
      <c r="B289" s="6" t="n"/>
      <c r="C289" s="7" t="n"/>
      <c r="D289" s="7">
        <f>IFERROR(T(VLOOKUP($A289,Players!$A:$E,2,FALSE)),"")</f>
        <v/>
      </c>
      <c r="E289" s="6" t="n"/>
      <c r="F289" s="7" t="n"/>
    </row>
    <row r="290">
      <c r="A290" s="8" t="n"/>
      <c r="B290" s="9" t="n"/>
      <c r="C290" s="10" t="n"/>
      <c r="D290" s="10">
        <f>IFERROR(T(VLOOKUP($A290,Players!$A:$E,2,FALSE)),"")</f>
        <v/>
      </c>
      <c r="E290" s="9" t="n"/>
      <c r="F290" s="10" t="n"/>
    </row>
    <row r="291">
      <c r="A291" s="5" t="n"/>
      <c r="B291" s="6" t="n"/>
      <c r="C291" s="7" t="n"/>
      <c r="D291" s="7">
        <f>IFERROR(T(VLOOKUP($A291,Players!$A:$E,2,FALSE)),"")</f>
        <v/>
      </c>
      <c r="E291" s="6" t="n"/>
      <c r="F291" s="7" t="n"/>
    </row>
    <row r="292">
      <c r="A292" s="8" t="n"/>
      <c r="B292" s="9" t="n"/>
      <c r="C292" s="10" t="n"/>
      <c r="D292" s="10">
        <f>IFERROR(T(VLOOKUP($A292,Players!$A:$E,2,FALSE)),"")</f>
        <v/>
      </c>
      <c r="E292" s="9" t="n"/>
      <c r="F292" s="10" t="n"/>
    </row>
    <row r="293">
      <c r="A293" s="5" t="n"/>
      <c r="B293" s="6" t="n"/>
      <c r="C293" s="7" t="n"/>
      <c r="D293" s="7">
        <f>IFERROR(T(VLOOKUP($A293,Players!$A:$E,2,FALSE)),"")</f>
        <v/>
      </c>
      <c r="E293" s="6" t="n"/>
      <c r="F293" s="7" t="n"/>
    </row>
    <row r="294">
      <c r="A294" s="8" t="n"/>
      <c r="B294" s="9" t="n"/>
      <c r="C294" s="10" t="n"/>
      <c r="D294" s="10">
        <f>IFERROR(T(VLOOKUP($A294,Players!$A:$E,2,FALSE)),"")</f>
        <v/>
      </c>
      <c r="E294" s="9" t="n"/>
      <c r="F294" s="10" t="n"/>
    </row>
    <row r="295">
      <c r="A295" s="5" t="n"/>
      <c r="B295" s="6" t="n"/>
      <c r="C295" s="7" t="n"/>
      <c r="D295" s="7">
        <f>IFERROR(T(VLOOKUP($A295,Players!$A:$E,2,FALSE)),"")</f>
        <v/>
      </c>
      <c r="E295" s="6" t="n"/>
      <c r="F295" s="7" t="n"/>
    </row>
    <row r="296">
      <c r="A296" s="8" t="n"/>
      <c r="B296" s="9" t="n"/>
      <c r="C296" s="10" t="n"/>
      <c r="D296" s="10">
        <f>IFERROR(T(VLOOKUP($A296,Players!$A:$E,2,FALSE)),"")</f>
        <v/>
      </c>
      <c r="E296" s="9" t="n"/>
      <c r="F296" s="10" t="n"/>
    </row>
    <row r="297">
      <c r="A297" s="5" t="n"/>
      <c r="B297" s="6" t="n"/>
      <c r="C297" s="7" t="n"/>
      <c r="D297" s="7">
        <f>IFERROR(T(VLOOKUP($A297,Players!$A:$E,2,FALSE)),"")</f>
        <v/>
      </c>
      <c r="E297" s="6" t="n"/>
      <c r="F297" s="7" t="n"/>
    </row>
    <row r="298">
      <c r="A298" s="8" t="n"/>
      <c r="B298" s="9" t="n"/>
      <c r="C298" s="10" t="n"/>
      <c r="D298" s="10">
        <f>IFERROR(T(VLOOKUP($A298,Players!$A:$E,2,FALSE)),"")</f>
        <v/>
      </c>
      <c r="E298" s="9" t="n"/>
      <c r="F298" s="10" t="n"/>
    </row>
    <row r="299">
      <c r="A299" s="5" t="n"/>
      <c r="B299" s="6" t="n"/>
      <c r="C299" s="7" t="n"/>
      <c r="D299" s="7">
        <f>IFERROR(T(VLOOKUP($A299,Players!$A:$E,2,FALSE)),"")</f>
        <v/>
      </c>
      <c r="E299" s="6" t="n"/>
      <c r="F299" s="7" t="n"/>
    </row>
    <row r="300">
      <c r="A300" s="8" t="n"/>
      <c r="B300" s="9" t="n"/>
      <c r="C300" s="10" t="n"/>
      <c r="D300" s="10">
        <f>IFERROR(T(VLOOKUP($A300,Players!$A:$E,2,FALSE)),"")</f>
        <v/>
      </c>
      <c r="E300" s="9" t="n"/>
      <c r="F300" s="10" t="n"/>
    </row>
    <row r="301">
      <c r="A301" s="5" t="n"/>
      <c r="B301" s="6" t="n"/>
      <c r="C301" s="7" t="n"/>
      <c r="D301" s="7">
        <f>IFERROR(T(VLOOKUP($A301,Players!$A:$E,2,FALSE)),"")</f>
        <v/>
      </c>
      <c r="E301" s="6" t="n"/>
      <c r="F301" s="7" t="n"/>
    </row>
    <row r="302">
      <c r="A302" s="8" t="n"/>
      <c r="B302" s="9" t="n"/>
      <c r="C302" s="10" t="n"/>
      <c r="D302" s="10">
        <f>IFERROR(T(VLOOKUP($A302,Players!$A:$E,2,FALSE)),"")</f>
        <v/>
      </c>
      <c r="E302" s="9" t="n"/>
      <c r="F302" s="10" t="n"/>
    </row>
    <row r="303">
      <c r="A303" s="5" t="n"/>
      <c r="B303" s="6" t="n"/>
      <c r="C303" s="7" t="n"/>
      <c r="D303" s="7">
        <f>IFERROR(T(VLOOKUP($A303,Players!$A:$E,2,FALSE)),"")</f>
        <v/>
      </c>
      <c r="E303" s="6" t="n"/>
      <c r="F303" s="7" t="n"/>
    </row>
    <row r="304">
      <c r="A304" s="8" t="n"/>
      <c r="B304" s="9" t="n"/>
      <c r="C304" s="10" t="n"/>
      <c r="D304" s="10">
        <f>IFERROR(T(VLOOKUP($A304,Players!$A:$E,2,FALSE)),"")</f>
        <v/>
      </c>
      <c r="E304" s="9" t="n"/>
      <c r="F304" s="10" t="n"/>
    </row>
    <row r="305">
      <c r="A305" s="5" t="n"/>
      <c r="B305" s="6" t="n"/>
      <c r="C305" s="7" t="n"/>
      <c r="D305" s="7">
        <f>IFERROR(T(VLOOKUP($A305,Players!$A:$E,2,FALSE)),"")</f>
        <v/>
      </c>
      <c r="E305" s="6" t="n"/>
      <c r="F305" s="7" t="n"/>
    </row>
    <row r="306">
      <c r="A306" s="8" t="n"/>
      <c r="B306" s="9" t="n"/>
      <c r="C306" s="10" t="n"/>
      <c r="D306" s="10">
        <f>IFERROR(T(VLOOKUP($A306,Players!$A:$E,2,FALSE)),"")</f>
        <v/>
      </c>
      <c r="E306" s="9" t="n"/>
      <c r="F306" s="10" t="n"/>
    </row>
    <row r="307">
      <c r="A307" s="5" t="n"/>
      <c r="B307" s="6" t="n"/>
      <c r="C307" s="7" t="n"/>
      <c r="D307" s="7">
        <f>IFERROR(T(VLOOKUP($A307,Players!$A:$E,2,FALSE)),"")</f>
        <v/>
      </c>
      <c r="E307" s="6" t="n"/>
      <c r="F307" s="7" t="n"/>
    </row>
    <row r="308">
      <c r="A308" s="8" t="n"/>
      <c r="B308" s="9" t="n"/>
      <c r="C308" s="10" t="n"/>
      <c r="D308" s="10">
        <f>IFERROR(T(VLOOKUP($A308,Players!$A:$E,2,FALSE)),"")</f>
        <v/>
      </c>
      <c r="E308" s="9" t="n"/>
      <c r="F308" s="10" t="n"/>
    </row>
    <row r="309">
      <c r="A309" s="5" t="n"/>
      <c r="B309" s="6" t="n"/>
      <c r="C309" s="7" t="n"/>
      <c r="D309" s="7">
        <f>IFERROR(T(VLOOKUP($A309,Players!$A:$E,2,FALSE)),"")</f>
        <v/>
      </c>
      <c r="E309" s="6" t="n"/>
      <c r="F309" s="7" t="n"/>
    </row>
    <row r="310">
      <c r="A310" s="8" t="n"/>
      <c r="B310" s="9" t="n"/>
      <c r="C310" s="10" t="n"/>
      <c r="D310" s="10">
        <f>IFERROR(T(VLOOKUP($A310,Players!$A:$E,2,FALSE)),"")</f>
        <v/>
      </c>
      <c r="E310" s="9" t="n"/>
      <c r="F310" s="10" t="n"/>
    </row>
    <row r="311">
      <c r="A311" s="5" t="n"/>
      <c r="B311" s="6" t="n"/>
      <c r="C311" s="7" t="n"/>
      <c r="D311" s="7">
        <f>IFERROR(T(VLOOKUP($A311,Players!$A:$E,2,FALSE)),"")</f>
        <v/>
      </c>
      <c r="E311" s="6" t="n"/>
      <c r="F311" s="7" t="n"/>
    </row>
    <row r="312">
      <c r="A312" s="8" t="n"/>
      <c r="B312" s="9" t="n"/>
      <c r="C312" s="10" t="n"/>
      <c r="D312" s="10">
        <f>IFERROR(T(VLOOKUP($A312,Players!$A:$E,2,FALSE)),"")</f>
        <v/>
      </c>
      <c r="E312" s="9" t="n"/>
      <c r="F312" s="10" t="n"/>
    </row>
    <row r="313">
      <c r="A313" s="5" t="n"/>
      <c r="B313" s="6" t="n"/>
      <c r="C313" s="7" t="n"/>
      <c r="D313" s="7">
        <f>IFERROR(T(VLOOKUP($A313,Players!$A:$E,2,FALSE)),"")</f>
        <v/>
      </c>
      <c r="E313" s="6" t="n"/>
      <c r="F313" s="7" t="n"/>
    </row>
    <row r="314">
      <c r="A314" s="8" t="n"/>
      <c r="B314" s="9" t="n"/>
      <c r="C314" s="10" t="n"/>
      <c r="D314" s="10">
        <f>IFERROR(T(VLOOKUP($A314,Players!$A:$E,2,FALSE)),"")</f>
        <v/>
      </c>
      <c r="E314" s="9" t="n"/>
      <c r="F314" s="10" t="n"/>
    </row>
    <row r="315">
      <c r="A315" s="5" t="n"/>
      <c r="B315" s="6" t="n"/>
      <c r="C315" s="7" t="n"/>
      <c r="D315" s="7">
        <f>IFERROR(T(VLOOKUP($A315,Players!$A:$E,2,FALSE)),"")</f>
        <v/>
      </c>
      <c r="E315" s="6" t="n"/>
      <c r="F315" s="7" t="n"/>
    </row>
    <row r="316">
      <c r="A316" s="8" t="n"/>
      <c r="B316" s="9" t="n"/>
      <c r="C316" s="10" t="n"/>
      <c r="D316" s="10">
        <f>IFERROR(T(VLOOKUP($A316,Players!$A:$E,2,FALSE)),"")</f>
        <v/>
      </c>
      <c r="E316" s="9" t="n"/>
      <c r="F316" s="10" t="n"/>
    </row>
    <row r="317">
      <c r="A317" s="5" t="n"/>
      <c r="B317" s="6" t="n"/>
      <c r="C317" s="7" t="n"/>
      <c r="D317" s="7">
        <f>IFERROR(T(VLOOKUP($A317,Players!$A:$E,2,FALSE)),"")</f>
        <v/>
      </c>
      <c r="E317" s="6" t="n"/>
      <c r="F317" s="7" t="n"/>
    </row>
    <row r="318">
      <c r="A318" s="8" t="n"/>
      <c r="B318" s="9" t="n"/>
      <c r="C318" s="10" t="n"/>
      <c r="D318" s="10">
        <f>IFERROR(T(VLOOKUP($A318,Players!$A:$E,2,FALSE)),"")</f>
        <v/>
      </c>
      <c r="E318" s="9" t="n"/>
      <c r="F318" s="10" t="n"/>
    </row>
    <row r="319">
      <c r="A319" s="5" t="n"/>
      <c r="B319" s="6" t="n"/>
      <c r="C319" s="7" t="n"/>
      <c r="D319" s="7">
        <f>IFERROR(T(VLOOKUP($A319,Players!$A:$E,2,FALSE)),"")</f>
        <v/>
      </c>
      <c r="E319" s="6" t="n"/>
      <c r="F319" s="7" t="n"/>
    </row>
    <row r="320">
      <c r="A320" s="8" t="n"/>
      <c r="B320" s="9" t="n"/>
      <c r="C320" s="10" t="n"/>
      <c r="D320" s="10">
        <f>IFERROR(T(VLOOKUP($A320,Players!$A:$E,2,FALSE)),"")</f>
        <v/>
      </c>
      <c r="E320" s="9" t="n"/>
      <c r="F320" s="10" t="n"/>
    </row>
    <row r="321">
      <c r="A321" s="5" t="n"/>
      <c r="B321" s="6" t="n"/>
      <c r="C321" s="7" t="n"/>
      <c r="D321" s="7">
        <f>IFERROR(T(VLOOKUP($A321,Players!$A:$E,2,FALSE)),"")</f>
        <v/>
      </c>
      <c r="E321" s="6" t="n"/>
      <c r="F321" s="7" t="n"/>
    </row>
    <row r="322">
      <c r="A322" s="8" t="n"/>
      <c r="B322" s="9" t="n"/>
      <c r="C322" s="10" t="n"/>
      <c r="D322" s="10">
        <f>IFERROR(T(VLOOKUP($A322,Players!$A:$E,2,FALSE)),"")</f>
        <v/>
      </c>
      <c r="E322" s="9" t="n"/>
      <c r="F322" s="10" t="n"/>
    </row>
    <row r="323">
      <c r="A323" s="5" t="n"/>
      <c r="B323" s="6" t="n"/>
      <c r="C323" s="7" t="n"/>
      <c r="D323" s="7">
        <f>IFERROR(T(VLOOKUP($A323,Players!$A:$E,2,FALSE)),"")</f>
        <v/>
      </c>
      <c r="E323" s="6" t="n"/>
      <c r="F323" s="7" t="n"/>
    </row>
    <row r="324">
      <c r="A324" s="8" t="n"/>
      <c r="B324" s="9" t="n"/>
      <c r="C324" s="10" t="n"/>
      <c r="D324" s="10">
        <f>IFERROR(T(VLOOKUP($A324,Players!$A:$E,2,FALSE)),"")</f>
        <v/>
      </c>
      <c r="E324" s="9" t="n"/>
      <c r="F324" s="10" t="n"/>
    </row>
    <row r="325">
      <c r="A325" s="5" t="n"/>
      <c r="B325" s="6" t="n"/>
      <c r="C325" s="7" t="n"/>
      <c r="D325" s="7">
        <f>IFERROR(T(VLOOKUP($A325,Players!$A:$E,2,FALSE)),"")</f>
        <v/>
      </c>
      <c r="E325" s="6" t="n"/>
      <c r="F325" s="7" t="n"/>
    </row>
    <row r="326">
      <c r="A326" s="8" t="n"/>
      <c r="B326" s="9" t="n"/>
      <c r="C326" s="10" t="n"/>
      <c r="D326" s="10">
        <f>IFERROR(T(VLOOKUP($A326,Players!$A:$E,2,FALSE)),"")</f>
        <v/>
      </c>
      <c r="E326" s="9" t="n"/>
      <c r="F326" s="10" t="n"/>
    </row>
    <row r="327">
      <c r="A327" s="5" t="n"/>
      <c r="B327" s="6" t="n"/>
      <c r="C327" s="7" t="n"/>
      <c r="D327" s="7">
        <f>IFERROR(T(VLOOKUP($A327,Players!$A:$E,2,FALSE)),"")</f>
        <v/>
      </c>
      <c r="E327" s="6" t="n"/>
      <c r="F327" s="7" t="n"/>
    </row>
    <row r="328">
      <c r="A328" s="8" t="n"/>
      <c r="B328" s="9" t="n"/>
      <c r="C328" s="10" t="n"/>
      <c r="D328" s="10">
        <f>IFERROR(T(VLOOKUP($A328,Players!$A:$E,2,FALSE)),"")</f>
        <v/>
      </c>
      <c r="E328" s="9" t="n"/>
      <c r="F328" s="10" t="n"/>
    </row>
    <row r="329">
      <c r="A329" s="5" t="n"/>
      <c r="B329" s="6" t="n"/>
      <c r="C329" s="7" t="n"/>
      <c r="D329" s="7">
        <f>IFERROR(T(VLOOKUP($A329,Players!$A:$E,2,FALSE)),"")</f>
        <v/>
      </c>
      <c r="E329" s="6" t="n"/>
      <c r="F329" s="7" t="n"/>
    </row>
    <row r="330">
      <c r="A330" s="8" t="n"/>
      <c r="B330" s="9" t="n"/>
      <c r="C330" s="10" t="n"/>
      <c r="D330" s="10">
        <f>IFERROR(T(VLOOKUP($A330,Players!$A:$E,2,FALSE)),"")</f>
        <v/>
      </c>
      <c r="E330" s="9" t="n"/>
      <c r="F330" s="10" t="n"/>
    </row>
    <row r="331">
      <c r="A331" s="5" t="n"/>
      <c r="B331" s="6" t="n"/>
      <c r="C331" s="7" t="n"/>
      <c r="D331" s="7">
        <f>IFERROR(T(VLOOKUP($A331,Players!$A:$E,2,FALSE)),"")</f>
        <v/>
      </c>
      <c r="E331" s="6" t="n"/>
      <c r="F331" s="7" t="n"/>
    </row>
    <row r="332">
      <c r="A332" s="8" t="n"/>
      <c r="B332" s="9" t="n"/>
      <c r="C332" s="10" t="n"/>
      <c r="D332" s="10">
        <f>IFERROR(T(VLOOKUP($A332,Players!$A:$E,2,FALSE)),"")</f>
        <v/>
      </c>
      <c r="E332" s="9" t="n"/>
      <c r="F332" s="10" t="n"/>
    </row>
    <row r="333">
      <c r="A333" s="5" t="n"/>
      <c r="B333" s="6" t="n"/>
      <c r="C333" s="7" t="n"/>
      <c r="D333" s="7">
        <f>IFERROR(T(VLOOKUP($A333,Players!$A:$E,2,FALSE)),"")</f>
        <v/>
      </c>
      <c r="E333" s="6" t="n"/>
      <c r="F333" s="7" t="n"/>
    </row>
    <row r="334">
      <c r="A334" s="8" t="n"/>
      <c r="B334" s="9" t="n"/>
      <c r="C334" s="10" t="n"/>
      <c r="D334" s="10">
        <f>IFERROR(T(VLOOKUP($A334,Players!$A:$E,2,FALSE)),"")</f>
        <v/>
      </c>
      <c r="E334" s="9" t="n"/>
      <c r="F334" s="10" t="n"/>
    </row>
    <row r="335">
      <c r="A335" s="5" t="n"/>
      <c r="B335" s="6" t="n"/>
      <c r="C335" s="7" t="n"/>
      <c r="D335" s="7">
        <f>IFERROR(T(VLOOKUP($A335,Players!$A:$E,2,FALSE)),"")</f>
        <v/>
      </c>
      <c r="E335" s="6" t="n"/>
      <c r="F335" s="7" t="n"/>
    </row>
    <row r="336">
      <c r="A336" s="8" t="n"/>
      <c r="B336" s="9" t="n"/>
      <c r="C336" s="10" t="n"/>
      <c r="D336" s="10">
        <f>IFERROR(T(VLOOKUP($A336,Players!$A:$E,2,FALSE)),"")</f>
        <v/>
      </c>
      <c r="E336" s="9" t="n"/>
      <c r="F336" s="10" t="n"/>
    </row>
    <row r="337">
      <c r="A337" s="5" t="n"/>
      <c r="B337" s="6" t="n"/>
      <c r="C337" s="7" t="n"/>
      <c r="D337" s="7">
        <f>IFERROR(T(VLOOKUP($A337,Players!$A:$E,2,FALSE)),"")</f>
        <v/>
      </c>
      <c r="E337" s="6" t="n"/>
      <c r="F337" s="7" t="n"/>
    </row>
    <row r="338">
      <c r="A338" s="8" t="n"/>
      <c r="B338" s="9" t="n"/>
      <c r="C338" s="10" t="n"/>
      <c r="D338" s="10">
        <f>IFERROR(T(VLOOKUP($A338,Players!$A:$E,2,FALSE)),"")</f>
        <v/>
      </c>
      <c r="E338" s="9" t="n"/>
      <c r="F338" s="10" t="n"/>
    </row>
    <row r="339">
      <c r="A339" s="5" t="n"/>
      <c r="B339" s="6" t="n"/>
      <c r="C339" s="7" t="n"/>
      <c r="D339" s="7">
        <f>IFERROR(T(VLOOKUP($A339,Players!$A:$E,2,FALSE)),"")</f>
        <v/>
      </c>
      <c r="E339" s="6" t="n"/>
      <c r="F339" s="7" t="n"/>
    </row>
    <row r="340">
      <c r="A340" s="8" t="n"/>
      <c r="B340" s="9" t="n"/>
      <c r="C340" s="10" t="n"/>
      <c r="D340" s="10">
        <f>IFERROR(T(VLOOKUP($A340,Players!$A:$E,2,FALSE)),"")</f>
        <v/>
      </c>
      <c r="E340" s="9" t="n"/>
      <c r="F340" s="10" t="n"/>
    </row>
    <row r="341">
      <c r="A341" s="5" t="n"/>
      <c r="B341" s="6" t="n"/>
      <c r="C341" s="7" t="n"/>
      <c r="D341" s="7">
        <f>IFERROR(T(VLOOKUP($A341,Players!$A:$E,2,FALSE)),"")</f>
        <v/>
      </c>
      <c r="E341" s="6" t="n"/>
      <c r="F341" s="7" t="n"/>
    </row>
    <row r="342">
      <c r="A342" s="8" t="n"/>
      <c r="B342" s="9" t="n"/>
      <c r="C342" s="10" t="n"/>
      <c r="D342" s="10">
        <f>IFERROR(T(VLOOKUP($A342,Players!$A:$E,2,FALSE)),"")</f>
        <v/>
      </c>
      <c r="E342" s="9" t="n"/>
      <c r="F342" s="10" t="n"/>
    </row>
    <row r="343">
      <c r="A343" s="5" t="n"/>
      <c r="B343" s="6" t="n"/>
      <c r="C343" s="7" t="n"/>
      <c r="D343" s="7">
        <f>IFERROR(T(VLOOKUP($A343,Players!$A:$E,2,FALSE)),"")</f>
        <v/>
      </c>
      <c r="E343" s="6" t="n"/>
      <c r="F343" s="7" t="n"/>
    </row>
    <row r="344">
      <c r="A344" s="8" t="n"/>
      <c r="B344" s="9" t="n"/>
      <c r="C344" s="10" t="n"/>
      <c r="D344" s="10">
        <f>IFERROR(T(VLOOKUP($A344,Players!$A:$E,2,FALSE)),"")</f>
        <v/>
      </c>
      <c r="E344" s="9" t="n"/>
      <c r="F344" s="10" t="n"/>
    </row>
    <row r="345">
      <c r="A345" s="5" t="n"/>
      <c r="B345" s="6" t="n"/>
      <c r="C345" s="7" t="n"/>
      <c r="D345" s="7">
        <f>IFERROR(T(VLOOKUP($A345,Players!$A:$E,2,FALSE)),"")</f>
        <v/>
      </c>
      <c r="E345" s="6" t="n"/>
      <c r="F345" s="7" t="n"/>
    </row>
    <row r="346">
      <c r="A346" s="8" t="n"/>
      <c r="B346" s="9" t="n"/>
      <c r="C346" s="10" t="n"/>
      <c r="D346" s="10">
        <f>IFERROR(T(VLOOKUP($A346,Players!$A:$E,2,FALSE)),"")</f>
        <v/>
      </c>
      <c r="E346" s="9" t="n"/>
      <c r="F346" s="10" t="n"/>
    </row>
    <row r="347">
      <c r="A347" s="5" t="n"/>
      <c r="B347" s="6" t="n"/>
      <c r="C347" s="7" t="n"/>
      <c r="D347" s="7">
        <f>IFERROR(T(VLOOKUP($A347,Players!$A:$E,2,FALSE)),"")</f>
        <v/>
      </c>
      <c r="E347" s="6" t="n"/>
      <c r="F347" s="7" t="n"/>
    </row>
    <row r="348">
      <c r="A348" s="8" t="n"/>
      <c r="B348" s="9" t="n"/>
      <c r="C348" s="10" t="n"/>
      <c r="D348" s="10">
        <f>IFERROR(T(VLOOKUP($A348,Players!$A:$E,2,FALSE)),"")</f>
        <v/>
      </c>
      <c r="E348" s="9" t="n"/>
      <c r="F348" s="10" t="n"/>
    </row>
    <row r="349">
      <c r="A349" s="5" t="n"/>
      <c r="B349" s="6" t="n"/>
      <c r="C349" s="7" t="n"/>
      <c r="D349" s="7">
        <f>IFERROR(T(VLOOKUP($A349,Players!$A:$E,2,FALSE)),"")</f>
        <v/>
      </c>
      <c r="E349" s="6" t="n"/>
      <c r="F349" s="7" t="n"/>
    </row>
    <row r="350">
      <c r="A350" s="8" t="n"/>
      <c r="B350" s="9" t="n"/>
      <c r="C350" s="10" t="n"/>
      <c r="D350" s="10">
        <f>IFERROR(T(VLOOKUP($A350,Players!$A:$E,2,FALSE)),"")</f>
        <v/>
      </c>
      <c r="E350" s="9" t="n"/>
      <c r="F350" s="10" t="n"/>
    </row>
    <row r="351">
      <c r="A351" s="5" t="n"/>
      <c r="B351" s="6" t="n"/>
      <c r="C351" s="7" t="n"/>
      <c r="D351" s="7">
        <f>IFERROR(T(VLOOKUP($A351,Players!$A:$E,2,FALSE)),"")</f>
        <v/>
      </c>
      <c r="E351" s="6" t="n"/>
      <c r="F351" s="7" t="n"/>
    </row>
    <row r="352">
      <c r="A352" s="8" t="n"/>
      <c r="B352" s="9" t="n"/>
      <c r="C352" s="10" t="n"/>
      <c r="D352" s="10">
        <f>IFERROR(T(VLOOKUP($A352,Players!$A:$E,2,FALSE)),"")</f>
        <v/>
      </c>
      <c r="E352" s="9" t="n"/>
      <c r="F352" s="10" t="n"/>
    </row>
    <row r="353">
      <c r="A353" s="5" t="n"/>
      <c r="B353" s="6" t="n"/>
      <c r="C353" s="7" t="n"/>
      <c r="D353" s="7">
        <f>IFERROR(T(VLOOKUP($A353,Players!$A:$E,2,FALSE)),"")</f>
        <v/>
      </c>
      <c r="E353" s="6" t="n"/>
      <c r="F353" s="7" t="n"/>
    </row>
    <row r="354">
      <c r="A354" s="8" t="n"/>
      <c r="B354" s="9" t="n"/>
      <c r="C354" s="10" t="n"/>
      <c r="D354" s="10">
        <f>IFERROR(T(VLOOKUP($A354,Players!$A:$E,2,FALSE)),"")</f>
        <v/>
      </c>
      <c r="E354" s="9" t="n"/>
      <c r="F354" s="10" t="n"/>
    </row>
    <row r="355">
      <c r="A355" s="5" t="n"/>
      <c r="B355" s="6" t="n"/>
      <c r="C355" s="7" t="n"/>
      <c r="D355" s="7">
        <f>IFERROR(T(VLOOKUP($A355,Players!$A:$E,2,FALSE)),"")</f>
        <v/>
      </c>
      <c r="E355" s="6" t="n"/>
      <c r="F355" s="7" t="n"/>
    </row>
    <row r="356">
      <c r="A356" s="8" t="n"/>
      <c r="B356" s="9" t="n"/>
      <c r="C356" s="10" t="n"/>
      <c r="D356" s="10">
        <f>IFERROR(T(VLOOKUP($A356,Players!$A:$E,2,FALSE)),"")</f>
        <v/>
      </c>
      <c r="E356" s="9" t="n"/>
      <c r="F356" s="10" t="n"/>
    </row>
    <row r="357">
      <c r="A357" s="5" t="n"/>
      <c r="B357" s="6" t="n"/>
      <c r="C357" s="7" t="n"/>
      <c r="D357" s="7">
        <f>IFERROR(T(VLOOKUP($A357,Players!$A:$E,2,FALSE)),"")</f>
        <v/>
      </c>
      <c r="E357" s="6" t="n"/>
      <c r="F357" s="7" t="n"/>
    </row>
    <row r="358">
      <c r="A358" s="8" t="n"/>
      <c r="B358" s="9" t="n"/>
      <c r="C358" s="10" t="n"/>
      <c r="D358" s="10">
        <f>IFERROR(T(VLOOKUP($A358,Players!$A:$E,2,FALSE)),"")</f>
        <v/>
      </c>
      <c r="E358" s="9" t="n"/>
      <c r="F358" s="10" t="n"/>
    </row>
    <row r="359">
      <c r="A359" s="5" t="n"/>
      <c r="B359" s="6" t="n"/>
      <c r="C359" s="7" t="n"/>
      <c r="D359" s="7">
        <f>IFERROR(T(VLOOKUP($A359,Players!$A:$E,2,FALSE)),"")</f>
        <v/>
      </c>
      <c r="E359" s="6" t="n"/>
      <c r="F359" s="7" t="n"/>
    </row>
    <row r="360">
      <c r="A360" s="8" t="n"/>
      <c r="B360" s="9" t="n"/>
      <c r="C360" s="10" t="n"/>
      <c r="D360" s="10">
        <f>IFERROR(T(VLOOKUP($A360,Players!$A:$E,2,FALSE)),"")</f>
        <v/>
      </c>
      <c r="E360" s="9" t="n"/>
      <c r="F360" s="10" t="n"/>
    </row>
    <row r="361">
      <c r="A361" s="5" t="n"/>
      <c r="B361" s="6" t="n"/>
      <c r="C361" s="7" t="n"/>
      <c r="D361" s="7">
        <f>IFERROR(T(VLOOKUP($A361,Players!$A:$E,2,FALSE)),"")</f>
        <v/>
      </c>
      <c r="E361" s="6" t="n"/>
      <c r="F361" s="7" t="n"/>
    </row>
    <row r="362">
      <c r="A362" s="8" t="n"/>
      <c r="B362" s="9" t="n"/>
      <c r="C362" s="10" t="n"/>
      <c r="D362" s="10">
        <f>IFERROR(T(VLOOKUP($A362,Players!$A:$E,2,FALSE)),"")</f>
        <v/>
      </c>
      <c r="E362" s="9" t="n"/>
      <c r="F362" s="10" t="n"/>
    </row>
    <row r="363">
      <c r="A363" s="5" t="n"/>
      <c r="B363" s="6" t="n"/>
      <c r="C363" s="7" t="n"/>
      <c r="D363" s="7">
        <f>IFERROR(T(VLOOKUP($A363,Players!$A:$E,2,FALSE)),"")</f>
        <v/>
      </c>
      <c r="E363" s="6" t="n"/>
      <c r="F363" s="7" t="n"/>
    </row>
    <row r="364">
      <c r="A364" s="8" t="n"/>
      <c r="B364" s="9" t="n"/>
      <c r="C364" s="10" t="n"/>
      <c r="D364" s="10">
        <f>IFERROR(T(VLOOKUP($A364,Players!$A:$E,2,FALSE)),"")</f>
        <v/>
      </c>
      <c r="E364" s="9" t="n"/>
      <c r="F364" s="10" t="n"/>
    </row>
    <row r="365">
      <c r="A365" s="5" t="n"/>
      <c r="B365" s="6" t="n"/>
      <c r="C365" s="7" t="n"/>
      <c r="D365" s="7">
        <f>IFERROR(T(VLOOKUP($A365,Players!$A:$E,2,FALSE)),"")</f>
        <v/>
      </c>
      <c r="E365" s="6" t="n"/>
      <c r="F365" s="7" t="n"/>
    </row>
    <row r="366">
      <c r="A366" s="8" t="n"/>
      <c r="B366" s="9" t="n"/>
      <c r="C366" s="10" t="n"/>
      <c r="D366" s="10">
        <f>IFERROR(T(VLOOKUP($A366,Players!$A:$E,2,FALSE)),"")</f>
        <v/>
      </c>
      <c r="E366" s="9" t="n"/>
      <c r="F366" s="10" t="n"/>
    </row>
    <row r="367">
      <c r="A367" s="5" t="n"/>
      <c r="B367" s="6" t="n"/>
      <c r="C367" s="7" t="n"/>
      <c r="D367" s="7">
        <f>IFERROR(T(VLOOKUP($A367,Players!$A:$E,2,FALSE)),"")</f>
        <v/>
      </c>
      <c r="E367" s="6" t="n"/>
      <c r="F367" s="7" t="n"/>
    </row>
    <row r="368">
      <c r="A368" s="8" t="n"/>
      <c r="B368" s="9" t="n"/>
      <c r="C368" s="10" t="n"/>
      <c r="D368" s="10">
        <f>IFERROR(T(VLOOKUP($A368,Players!$A:$E,2,FALSE)),"")</f>
        <v/>
      </c>
      <c r="E368" s="9" t="n"/>
      <c r="F368" s="10" t="n"/>
    </row>
    <row r="369">
      <c r="A369" s="5" t="n"/>
      <c r="B369" s="6" t="n"/>
      <c r="C369" s="7" t="n"/>
      <c r="D369" s="7">
        <f>IFERROR(T(VLOOKUP($A369,Players!$A:$E,2,FALSE)),"")</f>
        <v/>
      </c>
      <c r="E369" s="6" t="n"/>
      <c r="F369" s="7" t="n"/>
    </row>
    <row r="370">
      <c r="A370" s="8" t="n"/>
      <c r="B370" s="9" t="n"/>
      <c r="C370" s="10" t="n"/>
      <c r="D370" s="10">
        <f>IFERROR(T(VLOOKUP($A370,Players!$A:$E,2,FALSE)),"")</f>
        <v/>
      </c>
      <c r="E370" s="9" t="n"/>
      <c r="F370" s="10" t="n"/>
    </row>
    <row r="371">
      <c r="A371" s="5" t="n"/>
      <c r="B371" s="6" t="n"/>
      <c r="C371" s="7" t="n"/>
      <c r="D371" s="7">
        <f>IFERROR(T(VLOOKUP($A371,Players!$A:$E,2,FALSE)),"")</f>
        <v/>
      </c>
      <c r="E371" s="6" t="n"/>
      <c r="F371" s="7" t="n"/>
    </row>
    <row r="372">
      <c r="A372" s="8" t="n"/>
      <c r="B372" s="9" t="n"/>
      <c r="C372" s="10" t="n"/>
      <c r="D372" s="10">
        <f>IFERROR(T(VLOOKUP($A372,Players!$A:$E,2,FALSE)),"")</f>
        <v/>
      </c>
      <c r="E372" s="9" t="n"/>
      <c r="F372" s="10" t="n"/>
    </row>
    <row r="373">
      <c r="A373" s="5" t="n"/>
      <c r="B373" s="6" t="n"/>
      <c r="C373" s="7" t="n"/>
      <c r="D373" s="7">
        <f>IFERROR(T(VLOOKUP($A373,Players!$A:$E,2,FALSE)),"")</f>
        <v/>
      </c>
      <c r="E373" s="6" t="n"/>
      <c r="F373" s="7" t="n"/>
    </row>
    <row r="374">
      <c r="A374" s="8" t="n"/>
      <c r="B374" s="9" t="n"/>
      <c r="C374" s="10" t="n"/>
      <c r="D374" s="10">
        <f>IFERROR(T(VLOOKUP($A374,Players!$A:$E,2,FALSE)),"")</f>
        <v/>
      </c>
      <c r="E374" s="9" t="n"/>
      <c r="F374" s="10" t="n"/>
    </row>
    <row r="375">
      <c r="A375" s="5" t="n"/>
      <c r="B375" s="6" t="n"/>
      <c r="C375" s="7" t="n"/>
      <c r="D375" s="7">
        <f>IFERROR(T(VLOOKUP($A375,Players!$A:$E,2,FALSE)),"")</f>
        <v/>
      </c>
      <c r="E375" s="6" t="n"/>
      <c r="F375" s="7" t="n"/>
    </row>
    <row r="376">
      <c r="A376" s="8" t="n"/>
      <c r="B376" s="9" t="n"/>
      <c r="C376" s="10" t="n"/>
      <c r="D376" s="10">
        <f>IFERROR(T(VLOOKUP($A376,Players!$A:$E,2,FALSE)),"")</f>
        <v/>
      </c>
      <c r="E376" s="9" t="n"/>
      <c r="F376" s="10" t="n"/>
    </row>
    <row r="377">
      <c r="A377" s="5" t="n"/>
      <c r="B377" s="6" t="n"/>
      <c r="C377" s="7" t="n"/>
      <c r="D377" s="7">
        <f>IFERROR(T(VLOOKUP($A377,Players!$A:$E,2,FALSE)),"")</f>
        <v/>
      </c>
      <c r="E377" s="6" t="n"/>
      <c r="F377" s="7" t="n"/>
    </row>
    <row r="378">
      <c r="A378" s="8" t="n"/>
      <c r="B378" s="9" t="n"/>
      <c r="C378" s="10" t="n"/>
      <c r="D378" s="10">
        <f>IFERROR(T(VLOOKUP($A378,Players!$A:$E,2,FALSE)),"")</f>
        <v/>
      </c>
      <c r="E378" s="9" t="n"/>
      <c r="F378" s="10" t="n"/>
    </row>
    <row r="379">
      <c r="A379" s="5" t="n"/>
      <c r="B379" s="6" t="n"/>
      <c r="C379" s="7" t="n"/>
      <c r="D379" s="7">
        <f>IFERROR(T(VLOOKUP($A379,Players!$A:$E,2,FALSE)),"")</f>
        <v/>
      </c>
      <c r="E379" s="6" t="n"/>
      <c r="F379" s="7" t="n"/>
    </row>
    <row r="380">
      <c r="A380" s="8" t="n"/>
      <c r="B380" s="9" t="n"/>
      <c r="C380" s="10" t="n"/>
      <c r="D380" s="10">
        <f>IFERROR(T(VLOOKUP($A380,Players!$A:$E,2,FALSE)),"")</f>
        <v/>
      </c>
      <c r="E380" s="9" t="n"/>
      <c r="F380" s="10" t="n"/>
    </row>
    <row r="381">
      <c r="A381" s="5" t="n"/>
      <c r="B381" s="6" t="n"/>
      <c r="C381" s="7" t="n"/>
      <c r="D381" s="7">
        <f>IFERROR(T(VLOOKUP($A381,Players!$A:$E,2,FALSE)),"")</f>
        <v/>
      </c>
      <c r="E381" s="6" t="n"/>
      <c r="F381" s="7" t="n"/>
    </row>
    <row r="382">
      <c r="A382" s="8" t="n"/>
      <c r="B382" s="9" t="n"/>
      <c r="C382" s="10" t="n"/>
      <c r="D382" s="10">
        <f>IFERROR(T(VLOOKUP($A382,Players!$A:$E,2,FALSE)),"")</f>
        <v/>
      </c>
      <c r="E382" s="9" t="n"/>
      <c r="F382" s="10" t="n"/>
    </row>
    <row r="383">
      <c r="A383" s="5" t="n"/>
      <c r="B383" s="6" t="n"/>
      <c r="C383" s="7" t="n"/>
      <c r="D383" s="7">
        <f>IFERROR(T(VLOOKUP($A383,Players!$A:$E,2,FALSE)),"")</f>
        <v/>
      </c>
      <c r="E383" s="6" t="n"/>
      <c r="F383" s="7" t="n"/>
    </row>
    <row r="384">
      <c r="A384" s="8" t="n"/>
      <c r="B384" s="9" t="n"/>
      <c r="C384" s="10" t="n"/>
      <c r="D384" s="10">
        <f>IFERROR(T(VLOOKUP($A384,Players!$A:$E,2,FALSE)),"")</f>
        <v/>
      </c>
      <c r="E384" s="9" t="n"/>
      <c r="F384" s="10" t="n"/>
    </row>
    <row r="385">
      <c r="A385" s="5" t="n"/>
      <c r="B385" s="6" t="n"/>
      <c r="C385" s="7" t="n"/>
      <c r="D385" s="7">
        <f>IFERROR(T(VLOOKUP($A385,Players!$A:$E,2,FALSE)),"")</f>
        <v/>
      </c>
      <c r="E385" s="6" t="n"/>
      <c r="F385" s="7" t="n"/>
    </row>
    <row r="386">
      <c r="A386" s="8" t="n"/>
      <c r="B386" s="9" t="n"/>
      <c r="C386" s="10" t="n"/>
      <c r="D386" s="10">
        <f>IFERROR(T(VLOOKUP($A386,Players!$A:$E,2,FALSE)),"")</f>
        <v/>
      </c>
      <c r="E386" s="9" t="n"/>
      <c r="F386" s="10" t="n"/>
    </row>
    <row r="387">
      <c r="A387" s="5" t="n"/>
      <c r="B387" s="6" t="n"/>
      <c r="C387" s="7" t="n"/>
      <c r="D387" s="7">
        <f>IFERROR(T(VLOOKUP($A387,Players!$A:$E,2,FALSE)),"")</f>
        <v/>
      </c>
      <c r="E387" s="6" t="n"/>
      <c r="F387" s="7" t="n"/>
    </row>
    <row r="388">
      <c r="A388" s="8" t="n"/>
      <c r="B388" s="9" t="n"/>
      <c r="C388" s="10" t="n"/>
      <c r="D388" s="10">
        <f>IFERROR(T(VLOOKUP($A388,Players!$A:$E,2,FALSE)),"")</f>
        <v/>
      </c>
      <c r="E388" s="9" t="n"/>
      <c r="F388" s="10" t="n"/>
    </row>
    <row r="389">
      <c r="A389" s="5" t="n"/>
      <c r="B389" s="6" t="n"/>
      <c r="C389" s="7" t="n"/>
      <c r="D389" s="7">
        <f>IFERROR(T(VLOOKUP($A389,Players!$A:$E,2,FALSE)),"")</f>
        <v/>
      </c>
      <c r="E389" s="6" t="n"/>
      <c r="F389" s="7" t="n"/>
    </row>
    <row r="390">
      <c r="A390" s="8" t="n"/>
      <c r="B390" s="9" t="n"/>
      <c r="C390" s="10" t="n"/>
      <c r="D390" s="10">
        <f>IFERROR(T(VLOOKUP($A390,Players!$A:$E,2,FALSE)),"")</f>
        <v/>
      </c>
      <c r="E390" s="9" t="n"/>
      <c r="F390" s="10" t="n"/>
    </row>
    <row r="391">
      <c r="A391" s="5" t="n"/>
      <c r="B391" s="6" t="n"/>
      <c r="C391" s="7" t="n"/>
      <c r="D391" s="7">
        <f>IFERROR(T(VLOOKUP($A391,Players!$A:$E,2,FALSE)),"")</f>
        <v/>
      </c>
      <c r="E391" s="6" t="n"/>
      <c r="F391" s="7" t="n"/>
    </row>
    <row r="392">
      <c r="A392" s="8" t="n"/>
      <c r="B392" s="9" t="n"/>
      <c r="C392" s="10" t="n"/>
      <c r="D392" s="10">
        <f>IFERROR(T(VLOOKUP($A392,Players!$A:$E,2,FALSE)),"")</f>
        <v/>
      </c>
      <c r="E392" s="9" t="n"/>
      <c r="F392" s="10" t="n"/>
    </row>
    <row r="393">
      <c r="A393" s="5" t="n"/>
      <c r="B393" s="6" t="n"/>
      <c r="C393" s="7" t="n"/>
      <c r="D393" s="7">
        <f>IFERROR(T(VLOOKUP($A393,Players!$A:$E,2,FALSE)),"")</f>
        <v/>
      </c>
      <c r="E393" s="6" t="n"/>
      <c r="F393" s="7" t="n"/>
    </row>
    <row r="394">
      <c r="A394" s="8" t="n"/>
      <c r="B394" s="9" t="n"/>
      <c r="C394" s="10" t="n"/>
      <c r="D394" s="10">
        <f>IFERROR(T(VLOOKUP($A394,Players!$A:$E,2,FALSE)),"")</f>
        <v/>
      </c>
      <c r="E394" s="9" t="n"/>
      <c r="F394" s="10" t="n"/>
    </row>
    <row r="395">
      <c r="A395" s="5" t="n"/>
      <c r="B395" s="6" t="n"/>
      <c r="C395" s="7" t="n"/>
      <c r="D395" s="7">
        <f>IFERROR(T(VLOOKUP($A395,Players!$A:$E,2,FALSE)),"")</f>
        <v/>
      </c>
      <c r="E395" s="6" t="n"/>
      <c r="F395" s="7" t="n"/>
    </row>
    <row r="396">
      <c r="A396" s="8" t="n"/>
      <c r="B396" s="9" t="n"/>
      <c r="C396" s="10" t="n"/>
      <c r="D396" s="10">
        <f>IFERROR(T(VLOOKUP($A396,Players!$A:$E,2,FALSE)),"")</f>
        <v/>
      </c>
      <c r="E396" s="9" t="n"/>
      <c r="F396" s="10" t="n"/>
    </row>
    <row r="397">
      <c r="A397" s="5" t="n"/>
      <c r="B397" s="6" t="n"/>
      <c r="C397" s="7" t="n"/>
      <c r="D397" s="7">
        <f>IFERROR(T(VLOOKUP($A397,Players!$A:$E,2,FALSE)),"")</f>
        <v/>
      </c>
      <c r="E397" s="6" t="n"/>
      <c r="F397" s="7" t="n"/>
    </row>
    <row r="398">
      <c r="A398" s="8" t="n"/>
      <c r="B398" s="9" t="n"/>
      <c r="C398" s="10" t="n"/>
      <c r="D398" s="10">
        <f>IFERROR(T(VLOOKUP($A398,Players!$A:$E,2,FALSE)),"")</f>
        <v/>
      </c>
      <c r="E398" s="9" t="n"/>
      <c r="F398" s="10" t="n"/>
    </row>
    <row r="399">
      <c r="A399" s="5" t="n"/>
      <c r="B399" s="6" t="n"/>
      <c r="C399" s="7" t="n"/>
      <c r="D399" s="7">
        <f>IFERROR(T(VLOOKUP($A399,Players!$A:$E,2,FALSE)),"")</f>
        <v/>
      </c>
      <c r="E399" s="6" t="n"/>
      <c r="F399" s="7" t="n"/>
    </row>
    <row r="400">
      <c r="A400" s="8" t="n"/>
      <c r="B400" s="9" t="n"/>
      <c r="C400" s="10" t="n"/>
      <c r="D400" s="10">
        <f>IFERROR(T(VLOOKUP($A400,Players!$A:$E,2,FALSE)),"")</f>
        <v/>
      </c>
      <c r="E400" s="9" t="n"/>
      <c r="F400" s="10" t="n"/>
    </row>
    <row r="401">
      <c r="A401" s="5" t="n"/>
      <c r="B401" s="6" t="n"/>
      <c r="C401" s="7" t="n"/>
      <c r="D401" s="7">
        <f>IFERROR(T(VLOOKUP($A401,Players!$A:$E,2,FALSE)),"")</f>
        <v/>
      </c>
      <c r="E401" s="6" t="n"/>
      <c r="F401" s="7" t="n"/>
    </row>
    <row r="402">
      <c r="A402" s="8" t="n"/>
      <c r="B402" s="9" t="n"/>
      <c r="C402" s="10" t="n"/>
      <c r="D402" s="10">
        <f>IFERROR(T(VLOOKUP($A402,Players!$A:$E,2,FALSE)),"")</f>
        <v/>
      </c>
      <c r="E402" s="9" t="n"/>
      <c r="F402" s="10" t="n"/>
    </row>
    <row r="403">
      <c r="A403" s="5" t="n"/>
      <c r="B403" s="6" t="n"/>
      <c r="C403" s="7" t="n"/>
      <c r="D403" s="7">
        <f>IFERROR(T(VLOOKUP($A403,Players!$A:$E,2,FALSE)),"")</f>
        <v/>
      </c>
      <c r="E403" s="6" t="n"/>
      <c r="F403" s="7" t="n"/>
    </row>
    <row r="404">
      <c r="A404" s="8" t="n"/>
      <c r="B404" s="9" t="n"/>
      <c r="C404" s="10" t="n"/>
      <c r="D404" s="10">
        <f>IFERROR(T(VLOOKUP($A404,Players!$A:$E,2,FALSE)),"")</f>
        <v/>
      </c>
      <c r="E404" s="9" t="n"/>
      <c r="F404" s="10" t="n"/>
    </row>
    <row r="405">
      <c r="A405" s="5" t="n"/>
      <c r="B405" s="6" t="n"/>
      <c r="C405" s="7" t="n"/>
      <c r="D405" s="7">
        <f>IFERROR(T(VLOOKUP($A405,Players!$A:$E,2,FALSE)),"")</f>
        <v/>
      </c>
      <c r="E405" s="6" t="n"/>
      <c r="F405" s="7" t="n"/>
    </row>
    <row r="406">
      <c r="A406" s="8" t="n"/>
      <c r="B406" s="9" t="n"/>
      <c r="C406" s="10" t="n"/>
      <c r="D406" s="10">
        <f>IFERROR(T(VLOOKUP($A406,Players!$A:$E,2,FALSE)),"")</f>
        <v/>
      </c>
      <c r="E406" s="9" t="n"/>
      <c r="F406" s="10" t="n"/>
    </row>
    <row r="407">
      <c r="A407" s="5" t="n"/>
      <c r="B407" s="6" t="n"/>
      <c r="C407" s="7" t="n"/>
      <c r="D407" s="7">
        <f>IFERROR(T(VLOOKUP($A407,Players!$A:$E,2,FALSE)),"")</f>
        <v/>
      </c>
      <c r="E407" s="6" t="n"/>
      <c r="F407" s="7" t="n"/>
    </row>
    <row r="408">
      <c r="A408" s="8" t="n"/>
      <c r="B408" s="9" t="n"/>
      <c r="C408" s="10" t="n"/>
      <c r="D408" s="10">
        <f>IFERROR(T(VLOOKUP($A408,Players!$A:$E,2,FALSE)),"")</f>
        <v/>
      </c>
      <c r="E408" s="9" t="n"/>
      <c r="F408" s="10" t="n"/>
    </row>
    <row r="409">
      <c r="A409" s="5" t="n"/>
      <c r="B409" s="6" t="n"/>
      <c r="C409" s="7" t="n"/>
      <c r="D409" s="7">
        <f>IFERROR(T(VLOOKUP($A409,Players!$A:$E,2,FALSE)),"")</f>
        <v/>
      </c>
      <c r="E409" s="6" t="n"/>
      <c r="F409" s="7" t="n"/>
    </row>
    <row r="410">
      <c r="A410" s="8" t="n"/>
      <c r="B410" s="9" t="n"/>
      <c r="C410" s="10" t="n"/>
      <c r="D410" s="10">
        <f>IFERROR(T(VLOOKUP($A410,Players!$A:$E,2,FALSE)),"")</f>
        <v/>
      </c>
      <c r="E410" s="9" t="n"/>
      <c r="F410" s="10" t="n"/>
    </row>
    <row r="411">
      <c r="A411" s="5" t="n"/>
      <c r="B411" s="6" t="n"/>
      <c r="C411" s="7" t="n"/>
      <c r="D411" s="7">
        <f>IFERROR(T(VLOOKUP($A411,Players!$A:$E,2,FALSE)),"")</f>
        <v/>
      </c>
      <c r="E411" s="6" t="n"/>
      <c r="F411" s="7" t="n"/>
    </row>
    <row r="412">
      <c r="A412" s="8" t="n"/>
      <c r="B412" s="9" t="n"/>
      <c r="C412" s="10" t="n"/>
      <c r="D412" s="10">
        <f>IFERROR(T(VLOOKUP($A412,Players!$A:$E,2,FALSE)),"")</f>
        <v/>
      </c>
      <c r="E412" s="9" t="n"/>
      <c r="F412" s="10" t="n"/>
    </row>
    <row r="413">
      <c r="A413" s="5" t="n"/>
      <c r="B413" s="6" t="n"/>
      <c r="C413" s="7" t="n"/>
      <c r="D413" s="7">
        <f>IFERROR(T(VLOOKUP($A413,Players!$A:$E,2,FALSE)),"")</f>
        <v/>
      </c>
      <c r="E413" s="6" t="n"/>
      <c r="F413" s="7" t="n"/>
    </row>
    <row r="414">
      <c r="A414" s="8" t="n"/>
      <c r="B414" s="9" t="n"/>
      <c r="C414" s="10" t="n"/>
      <c r="D414" s="10">
        <f>IFERROR(T(VLOOKUP($A414,Players!$A:$E,2,FALSE)),"")</f>
        <v/>
      </c>
      <c r="E414" s="9" t="n"/>
      <c r="F414" s="10" t="n"/>
    </row>
    <row r="415">
      <c r="A415" s="5" t="n"/>
      <c r="B415" s="6" t="n"/>
      <c r="C415" s="7" t="n"/>
      <c r="D415" s="7">
        <f>IFERROR(T(VLOOKUP($A415,Players!$A:$E,2,FALSE)),"")</f>
        <v/>
      </c>
      <c r="E415" s="6" t="n"/>
      <c r="F415" s="7" t="n"/>
    </row>
    <row r="416">
      <c r="A416" s="8" t="n"/>
      <c r="B416" s="9" t="n"/>
      <c r="C416" s="10" t="n"/>
      <c r="D416" s="10">
        <f>IFERROR(T(VLOOKUP($A416,Players!$A:$E,2,FALSE)),"")</f>
        <v/>
      </c>
      <c r="E416" s="9" t="n"/>
      <c r="F416" s="10" t="n"/>
    </row>
    <row r="417">
      <c r="A417" s="5" t="n"/>
      <c r="B417" s="6" t="n"/>
      <c r="C417" s="7" t="n"/>
      <c r="D417" s="7">
        <f>IFERROR(T(VLOOKUP($A417,Players!$A:$E,2,FALSE)),"")</f>
        <v/>
      </c>
      <c r="E417" s="6" t="n"/>
      <c r="F417" s="7" t="n"/>
    </row>
    <row r="418">
      <c r="A418" s="8" t="n"/>
      <c r="B418" s="9" t="n"/>
      <c r="C418" s="10" t="n"/>
      <c r="D418" s="10">
        <f>IFERROR(T(VLOOKUP($A418,Players!$A:$E,2,FALSE)),"")</f>
        <v/>
      </c>
      <c r="E418" s="9" t="n"/>
      <c r="F418" s="10" t="n"/>
    </row>
    <row r="419">
      <c r="A419" s="5" t="n"/>
      <c r="B419" s="6" t="n"/>
      <c r="C419" s="7" t="n"/>
      <c r="D419" s="7">
        <f>IFERROR(T(VLOOKUP($A419,Players!$A:$E,2,FALSE)),"")</f>
        <v/>
      </c>
      <c r="E419" s="6" t="n"/>
      <c r="F419" s="7" t="n"/>
    </row>
    <row r="420">
      <c r="A420" s="8" t="n"/>
      <c r="B420" s="9" t="n"/>
      <c r="C420" s="10" t="n"/>
      <c r="D420" s="10">
        <f>IFERROR(T(VLOOKUP($A420,Players!$A:$E,2,FALSE)),"")</f>
        <v/>
      </c>
      <c r="E420" s="9" t="n"/>
      <c r="F420" s="10" t="n"/>
    </row>
    <row r="421">
      <c r="A421" s="5" t="n"/>
      <c r="B421" s="6" t="n"/>
      <c r="C421" s="7" t="n"/>
      <c r="D421" s="7">
        <f>IFERROR(T(VLOOKUP($A421,Players!$A:$E,2,FALSE)),"")</f>
        <v/>
      </c>
      <c r="E421" s="6" t="n"/>
      <c r="F421" s="7" t="n"/>
    </row>
    <row r="422">
      <c r="A422" s="8" t="n"/>
      <c r="B422" s="9" t="n"/>
      <c r="C422" s="10" t="n"/>
      <c r="D422" s="10">
        <f>IFERROR(T(VLOOKUP($A422,Players!$A:$E,2,FALSE)),"")</f>
        <v/>
      </c>
      <c r="E422" s="9" t="n"/>
      <c r="F422" s="10" t="n"/>
    </row>
    <row r="423">
      <c r="A423" s="5" t="n"/>
      <c r="B423" s="6" t="n"/>
      <c r="C423" s="7" t="n"/>
      <c r="D423" s="7">
        <f>IFERROR(T(VLOOKUP($A423,Players!$A:$E,2,FALSE)),"")</f>
        <v/>
      </c>
      <c r="E423" s="6" t="n"/>
      <c r="F423" s="7" t="n"/>
    </row>
    <row r="424">
      <c r="A424" s="8" t="n"/>
      <c r="B424" s="9" t="n"/>
      <c r="C424" s="10" t="n"/>
      <c r="D424" s="10">
        <f>IFERROR(T(VLOOKUP($A424,Players!$A:$E,2,FALSE)),"")</f>
        <v/>
      </c>
      <c r="E424" s="9" t="n"/>
      <c r="F424" s="10" t="n"/>
    </row>
    <row r="425">
      <c r="A425" s="5" t="n"/>
      <c r="B425" s="6" t="n"/>
      <c r="C425" s="7" t="n"/>
      <c r="D425" s="7">
        <f>IFERROR(T(VLOOKUP($A425,Players!$A:$E,2,FALSE)),"")</f>
        <v/>
      </c>
      <c r="E425" s="6" t="n"/>
      <c r="F425" s="7" t="n"/>
    </row>
    <row r="426">
      <c r="A426" s="8" t="n"/>
      <c r="B426" s="9" t="n"/>
      <c r="C426" s="10" t="n"/>
      <c r="D426" s="10">
        <f>IFERROR(T(VLOOKUP($A426,Players!$A:$E,2,FALSE)),"")</f>
        <v/>
      </c>
      <c r="E426" s="9" t="n"/>
      <c r="F426" s="10" t="n"/>
    </row>
    <row r="427">
      <c r="A427" s="5" t="n"/>
      <c r="B427" s="6" t="n"/>
      <c r="C427" s="7" t="n"/>
      <c r="D427" s="7">
        <f>IFERROR(T(VLOOKUP($A427,Players!$A:$E,2,FALSE)),"")</f>
        <v/>
      </c>
      <c r="E427" s="6" t="n"/>
      <c r="F427" s="7" t="n"/>
    </row>
    <row r="428">
      <c r="A428" s="8" t="n"/>
      <c r="B428" s="9" t="n"/>
      <c r="C428" s="10" t="n"/>
      <c r="D428" s="10">
        <f>IFERROR(T(VLOOKUP($A428,Players!$A:$E,2,FALSE)),"")</f>
        <v/>
      </c>
      <c r="E428" s="9" t="n"/>
      <c r="F428" s="10" t="n"/>
    </row>
    <row r="429">
      <c r="A429" s="5" t="n"/>
      <c r="B429" s="6" t="n"/>
      <c r="C429" s="7" t="n"/>
      <c r="D429" s="7">
        <f>IFERROR(T(VLOOKUP($A429,Players!$A:$E,2,FALSE)),"")</f>
        <v/>
      </c>
      <c r="E429" s="6" t="n"/>
      <c r="F429" s="7" t="n"/>
    </row>
    <row r="430">
      <c r="A430" s="8" t="n"/>
      <c r="B430" s="9" t="n"/>
      <c r="C430" s="10" t="n"/>
      <c r="D430" s="10">
        <f>IFERROR(T(VLOOKUP($A430,Players!$A:$E,2,FALSE)),"")</f>
        <v/>
      </c>
      <c r="E430" s="9" t="n"/>
      <c r="F430" s="10" t="n"/>
    </row>
    <row r="431">
      <c r="A431" s="5" t="n"/>
      <c r="B431" s="6" t="n"/>
      <c r="C431" s="7" t="n"/>
      <c r="D431" s="7">
        <f>IFERROR(T(VLOOKUP($A431,Players!$A:$E,2,FALSE)),"")</f>
        <v/>
      </c>
      <c r="E431" s="6" t="n"/>
      <c r="F431" s="7" t="n"/>
    </row>
    <row r="432">
      <c r="A432" s="8" t="n"/>
      <c r="B432" s="9" t="n"/>
      <c r="C432" s="10" t="n"/>
      <c r="D432" s="10">
        <f>IFERROR(T(VLOOKUP($A432,Players!$A:$E,2,FALSE)),"")</f>
        <v/>
      </c>
      <c r="E432" s="9" t="n"/>
      <c r="F432" s="10" t="n"/>
    </row>
    <row r="433">
      <c r="A433" s="5" t="n"/>
      <c r="B433" s="6" t="n"/>
      <c r="C433" s="7" t="n"/>
      <c r="D433" s="7">
        <f>IFERROR(T(VLOOKUP($A433,Players!$A:$E,2,FALSE)),"")</f>
        <v/>
      </c>
      <c r="E433" s="6" t="n"/>
      <c r="F433" s="7" t="n"/>
    </row>
    <row r="434">
      <c r="A434" s="8" t="n"/>
      <c r="B434" s="9" t="n"/>
      <c r="C434" s="10" t="n"/>
      <c r="D434" s="10">
        <f>IFERROR(T(VLOOKUP($A434,Players!$A:$E,2,FALSE)),"")</f>
        <v/>
      </c>
      <c r="E434" s="9" t="n"/>
      <c r="F434" s="10" t="n"/>
    </row>
    <row r="435">
      <c r="A435" s="5" t="n"/>
      <c r="B435" s="6" t="n"/>
      <c r="C435" s="7" t="n"/>
      <c r="D435" s="7">
        <f>IFERROR(T(VLOOKUP($A435,Players!$A:$E,2,FALSE)),"")</f>
        <v/>
      </c>
      <c r="E435" s="6" t="n"/>
      <c r="F435" s="7" t="n"/>
    </row>
    <row r="436">
      <c r="A436" s="8" t="n"/>
      <c r="B436" s="9" t="n"/>
      <c r="C436" s="10" t="n"/>
      <c r="D436" s="10">
        <f>IFERROR(T(VLOOKUP($A436,Players!$A:$E,2,FALSE)),"")</f>
        <v/>
      </c>
      <c r="E436" s="9" t="n"/>
      <c r="F436" s="10" t="n"/>
    </row>
    <row r="437">
      <c r="A437" s="5" t="n"/>
      <c r="B437" s="6" t="n"/>
      <c r="C437" s="7" t="n"/>
      <c r="D437" s="7">
        <f>IFERROR(T(VLOOKUP($A437,Players!$A:$E,2,FALSE)),"")</f>
        <v/>
      </c>
      <c r="E437" s="6" t="n"/>
      <c r="F437" s="7" t="n"/>
    </row>
    <row r="438">
      <c r="A438" s="8" t="n"/>
      <c r="B438" s="9" t="n"/>
      <c r="C438" s="10" t="n"/>
      <c r="D438" s="10">
        <f>IFERROR(T(VLOOKUP($A438,Players!$A:$E,2,FALSE)),"")</f>
        <v/>
      </c>
      <c r="E438" s="9" t="n"/>
      <c r="F438" s="10" t="n"/>
    </row>
    <row r="439">
      <c r="A439" s="5" t="n"/>
      <c r="B439" s="6" t="n"/>
      <c r="C439" s="7" t="n"/>
      <c r="D439" s="7">
        <f>IFERROR(T(VLOOKUP($A439,Players!$A:$E,2,FALSE)),"")</f>
        <v/>
      </c>
      <c r="E439" s="6" t="n"/>
      <c r="F439" s="7" t="n"/>
    </row>
    <row r="440">
      <c r="A440" s="8" t="n"/>
      <c r="B440" s="9" t="n"/>
      <c r="C440" s="10" t="n"/>
      <c r="D440" s="10">
        <f>IFERROR(T(VLOOKUP($A440,Players!$A:$E,2,FALSE)),"")</f>
        <v/>
      </c>
      <c r="E440" s="9" t="n"/>
      <c r="F440" s="10" t="n"/>
    </row>
    <row r="441">
      <c r="A441" s="5" t="n"/>
      <c r="B441" s="6" t="n"/>
      <c r="C441" s="7" t="n"/>
      <c r="D441" s="7">
        <f>IFERROR(T(VLOOKUP($A441,Players!$A:$E,2,FALSE)),"")</f>
        <v/>
      </c>
      <c r="E441" s="6" t="n"/>
      <c r="F441" s="7" t="n"/>
    </row>
    <row r="442">
      <c r="A442" s="8" t="n"/>
      <c r="B442" s="9" t="n"/>
      <c r="C442" s="10" t="n"/>
      <c r="D442" s="10">
        <f>IFERROR(T(VLOOKUP($A442,Players!$A:$E,2,FALSE)),"")</f>
        <v/>
      </c>
      <c r="E442" s="9" t="n"/>
      <c r="F442" s="10" t="n"/>
    </row>
    <row r="443">
      <c r="A443" s="5" t="n"/>
      <c r="B443" s="6" t="n"/>
      <c r="C443" s="7" t="n"/>
      <c r="D443" s="7">
        <f>IFERROR(T(VLOOKUP($A443,Players!$A:$E,2,FALSE)),"")</f>
        <v/>
      </c>
      <c r="E443" s="6" t="n"/>
      <c r="F443" s="7" t="n"/>
    </row>
    <row r="444">
      <c r="A444" s="8" t="n"/>
      <c r="B444" s="9" t="n"/>
      <c r="C444" s="10" t="n"/>
      <c r="D444" s="10">
        <f>IFERROR(T(VLOOKUP($A444,Players!$A:$E,2,FALSE)),"")</f>
        <v/>
      </c>
      <c r="E444" s="9" t="n"/>
      <c r="F444" s="10" t="n"/>
    </row>
    <row r="445">
      <c r="A445" s="5" t="n"/>
      <c r="B445" s="6" t="n"/>
      <c r="C445" s="7" t="n"/>
      <c r="D445" s="7">
        <f>IFERROR(T(VLOOKUP($A445,Players!$A:$E,2,FALSE)),"")</f>
        <v/>
      </c>
      <c r="E445" s="6" t="n"/>
      <c r="F445" s="7" t="n"/>
    </row>
    <row r="446">
      <c r="A446" s="8" t="n"/>
      <c r="B446" s="9" t="n"/>
      <c r="C446" s="10" t="n"/>
      <c r="D446" s="10">
        <f>IFERROR(T(VLOOKUP($A446,Players!$A:$E,2,FALSE)),"")</f>
        <v/>
      </c>
      <c r="E446" s="9" t="n"/>
      <c r="F446" s="10" t="n"/>
    </row>
    <row r="447">
      <c r="A447" s="5" t="n"/>
      <c r="B447" s="6" t="n"/>
      <c r="C447" s="7" t="n"/>
      <c r="D447" s="7">
        <f>IFERROR(T(VLOOKUP($A447,Players!$A:$E,2,FALSE)),"")</f>
        <v/>
      </c>
      <c r="E447" s="6" t="n"/>
      <c r="F447" s="7" t="n"/>
    </row>
    <row r="448">
      <c r="A448" s="8" t="n"/>
      <c r="B448" s="9" t="n"/>
      <c r="C448" s="10" t="n"/>
      <c r="D448" s="10">
        <f>IFERROR(T(VLOOKUP($A448,Players!$A:$E,2,FALSE)),"")</f>
        <v/>
      </c>
      <c r="E448" s="9" t="n"/>
      <c r="F448" s="10" t="n"/>
    </row>
    <row r="449">
      <c r="A449" s="5" t="n"/>
      <c r="B449" s="6" t="n"/>
      <c r="C449" s="7" t="n"/>
      <c r="D449" s="7">
        <f>IFERROR(T(VLOOKUP($A449,Players!$A:$E,2,FALSE)),"")</f>
        <v/>
      </c>
      <c r="E449" s="6" t="n"/>
      <c r="F449" s="7" t="n"/>
    </row>
    <row r="450">
      <c r="A450" s="8" t="n"/>
      <c r="B450" s="9" t="n"/>
      <c r="C450" s="10" t="n"/>
      <c r="D450" s="10">
        <f>IFERROR(T(VLOOKUP($A450,Players!$A:$E,2,FALSE)),"")</f>
        <v/>
      </c>
      <c r="E450" s="9" t="n"/>
      <c r="F450" s="10" t="n"/>
    </row>
    <row r="451">
      <c r="A451" s="5" t="n"/>
      <c r="B451" s="6" t="n"/>
      <c r="C451" s="7" t="n"/>
      <c r="D451" s="7">
        <f>IFERROR(T(VLOOKUP($A451,Players!$A:$E,2,FALSE)),"")</f>
        <v/>
      </c>
      <c r="E451" s="6" t="n"/>
      <c r="F451" s="7" t="n"/>
    </row>
    <row r="452">
      <c r="A452" s="8" t="n"/>
      <c r="B452" s="9" t="n"/>
      <c r="C452" s="10" t="n"/>
      <c r="D452" s="10">
        <f>IFERROR(T(VLOOKUP($A452,Players!$A:$E,2,FALSE)),"")</f>
        <v/>
      </c>
      <c r="E452" s="9" t="n"/>
      <c r="F452" s="10" t="n"/>
    </row>
    <row r="453">
      <c r="A453" s="5" t="n"/>
      <c r="B453" s="6" t="n"/>
      <c r="C453" s="7" t="n"/>
      <c r="D453" s="7">
        <f>IFERROR(T(VLOOKUP($A453,Players!$A:$E,2,FALSE)),"")</f>
        <v/>
      </c>
      <c r="E453" s="6" t="n"/>
      <c r="F453" s="7" t="n"/>
    </row>
    <row r="454">
      <c r="A454" s="8" t="n"/>
      <c r="B454" s="9" t="n"/>
      <c r="C454" s="10" t="n"/>
      <c r="D454" s="10">
        <f>IFERROR(T(VLOOKUP($A454,Players!$A:$E,2,FALSE)),"")</f>
        <v/>
      </c>
      <c r="E454" s="9" t="n"/>
      <c r="F454" s="10" t="n"/>
    </row>
    <row r="455">
      <c r="A455" s="5" t="n"/>
      <c r="B455" s="6" t="n"/>
      <c r="C455" s="7" t="n"/>
      <c r="D455" s="7">
        <f>IFERROR(T(VLOOKUP($A455,Players!$A:$E,2,FALSE)),"")</f>
        <v/>
      </c>
      <c r="E455" s="6" t="n"/>
      <c r="F455" s="7" t="n"/>
    </row>
    <row r="456">
      <c r="A456" s="8" t="n"/>
      <c r="B456" s="9" t="n"/>
      <c r="C456" s="10" t="n"/>
      <c r="D456" s="10">
        <f>IFERROR(T(VLOOKUP($A456,Players!$A:$E,2,FALSE)),"")</f>
        <v/>
      </c>
      <c r="E456" s="9" t="n"/>
      <c r="F456" s="10" t="n"/>
    </row>
    <row r="457">
      <c r="A457" s="5" t="n"/>
      <c r="B457" s="6" t="n"/>
      <c r="C457" s="7" t="n"/>
      <c r="D457" s="7">
        <f>IFERROR(T(VLOOKUP($A457,Players!$A:$E,2,FALSE)),"")</f>
        <v/>
      </c>
      <c r="E457" s="6" t="n"/>
      <c r="F457" s="7" t="n"/>
    </row>
    <row r="458">
      <c r="A458" s="8" t="n"/>
      <c r="B458" s="9" t="n"/>
      <c r="C458" s="10" t="n"/>
      <c r="D458" s="10">
        <f>IFERROR(T(VLOOKUP($A458,Players!$A:$E,2,FALSE)),"")</f>
        <v/>
      </c>
      <c r="E458" s="9" t="n"/>
      <c r="F458" s="10" t="n"/>
    </row>
    <row r="459">
      <c r="A459" s="5" t="n"/>
      <c r="B459" s="6" t="n"/>
      <c r="C459" s="7" t="n"/>
      <c r="D459" s="7">
        <f>IFERROR(T(VLOOKUP($A459,Players!$A:$E,2,FALSE)),"")</f>
        <v/>
      </c>
      <c r="E459" s="6" t="n"/>
      <c r="F459" s="7" t="n"/>
    </row>
    <row r="460">
      <c r="A460" s="8" t="n"/>
      <c r="B460" s="9" t="n"/>
      <c r="C460" s="10" t="n"/>
      <c r="D460" s="10">
        <f>IFERROR(T(VLOOKUP($A460,Players!$A:$E,2,FALSE)),"")</f>
        <v/>
      </c>
      <c r="E460" s="9" t="n"/>
      <c r="F460" s="10" t="n"/>
    </row>
    <row r="461">
      <c r="A461" s="5" t="n"/>
      <c r="B461" s="6" t="n"/>
      <c r="C461" s="7" t="n"/>
      <c r="D461" s="7">
        <f>IFERROR(T(VLOOKUP($A461,Players!$A:$E,2,FALSE)),"")</f>
        <v/>
      </c>
      <c r="E461" s="6" t="n"/>
      <c r="F461" s="7" t="n"/>
    </row>
    <row r="462">
      <c r="A462" s="8" t="n"/>
      <c r="B462" s="9" t="n"/>
      <c r="C462" s="10" t="n"/>
      <c r="D462" s="10">
        <f>IFERROR(T(VLOOKUP($A462,Players!$A:$E,2,FALSE)),"")</f>
        <v/>
      </c>
      <c r="E462" s="9" t="n"/>
      <c r="F462" s="10" t="n"/>
    </row>
    <row r="463">
      <c r="A463" s="5" t="n"/>
      <c r="B463" s="6" t="n"/>
      <c r="C463" s="7" t="n"/>
      <c r="D463" s="7">
        <f>IFERROR(T(VLOOKUP($A463,Players!$A:$E,2,FALSE)),"")</f>
        <v/>
      </c>
      <c r="E463" s="6" t="n"/>
      <c r="F463" s="7" t="n"/>
    </row>
    <row r="464">
      <c r="A464" s="8" t="n"/>
      <c r="B464" s="9" t="n"/>
      <c r="C464" s="10" t="n"/>
      <c r="D464" s="10">
        <f>IFERROR(T(VLOOKUP($A464,Players!$A:$E,2,FALSE)),"")</f>
        <v/>
      </c>
      <c r="E464" s="9" t="n"/>
      <c r="F464" s="10" t="n"/>
    </row>
    <row r="465">
      <c r="A465" s="5" t="n"/>
      <c r="B465" s="6" t="n"/>
      <c r="C465" s="7" t="n"/>
      <c r="D465" s="7">
        <f>IFERROR(T(VLOOKUP($A465,Players!$A:$E,2,FALSE)),"")</f>
        <v/>
      </c>
      <c r="E465" s="6" t="n"/>
      <c r="F465" s="7" t="n"/>
    </row>
    <row r="466">
      <c r="A466" s="8" t="n"/>
      <c r="B466" s="9" t="n"/>
      <c r="C466" s="10" t="n"/>
      <c r="D466" s="10">
        <f>IFERROR(T(VLOOKUP($A466,Players!$A:$E,2,FALSE)),"")</f>
        <v/>
      </c>
      <c r="E466" s="9" t="n"/>
      <c r="F466" s="10" t="n"/>
    </row>
    <row r="467">
      <c r="A467" s="5" t="n"/>
      <c r="B467" s="6" t="n"/>
      <c r="C467" s="7" t="n"/>
      <c r="D467" s="7">
        <f>IFERROR(T(VLOOKUP($A467,Players!$A:$E,2,FALSE)),"")</f>
        <v/>
      </c>
      <c r="E467" s="6" t="n"/>
      <c r="F467" s="7" t="n"/>
    </row>
    <row r="468">
      <c r="A468" s="8" t="n"/>
      <c r="B468" s="9" t="n"/>
      <c r="C468" s="10" t="n"/>
      <c r="D468" s="10">
        <f>IFERROR(T(VLOOKUP($A468,Players!$A:$E,2,FALSE)),"")</f>
        <v/>
      </c>
      <c r="E468" s="9" t="n"/>
      <c r="F468" s="10" t="n"/>
    </row>
    <row r="469">
      <c r="A469" s="5" t="n"/>
      <c r="B469" s="6" t="n"/>
      <c r="C469" s="7" t="n"/>
      <c r="D469" s="7">
        <f>IFERROR(T(VLOOKUP($A469,Players!$A:$E,2,FALSE)),"")</f>
        <v/>
      </c>
      <c r="E469" s="6" t="n"/>
      <c r="F469" s="7" t="n"/>
    </row>
    <row r="470">
      <c r="A470" s="8" t="n"/>
      <c r="B470" s="9" t="n"/>
      <c r="C470" s="10" t="n"/>
      <c r="D470" s="10">
        <f>IFERROR(T(VLOOKUP($A470,Players!$A:$E,2,FALSE)),"")</f>
        <v/>
      </c>
      <c r="E470" s="9" t="n"/>
      <c r="F470" s="10" t="n"/>
    </row>
    <row r="471">
      <c r="A471" s="5" t="n"/>
      <c r="B471" s="6" t="n"/>
      <c r="C471" s="7" t="n"/>
      <c r="D471" s="7">
        <f>IFERROR(T(VLOOKUP($A471,Players!$A:$E,2,FALSE)),"")</f>
        <v/>
      </c>
      <c r="E471" s="6" t="n"/>
      <c r="F471" s="7" t="n"/>
    </row>
    <row r="472">
      <c r="A472" s="8" t="n"/>
      <c r="B472" s="9" t="n"/>
      <c r="C472" s="10" t="n"/>
      <c r="D472" s="10">
        <f>IFERROR(T(VLOOKUP($A472,Players!$A:$E,2,FALSE)),"")</f>
        <v/>
      </c>
      <c r="E472" s="9" t="n"/>
      <c r="F472" s="10" t="n"/>
    </row>
    <row r="473">
      <c r="A473" s="5" t="n"/>
      <c r="B473" s="6" t="n"/>
      <c r="C473" s="7" t="n"/>
      <c r="D473" s="7">
        <f>IFERROR(T(VLOOKUP($A473,Players!$A:$E,2,FALSE)),"")</f>
        <v/>
      </c>
      <c r="E473" s="6" t="n"/>
      <c r="F473" s="7" t="n"/>
    </row>
    <row r="474">
      <c r="A474" s="8" t="n"/>
      <c r="B474" s="9" t="n"/>
      <c r="C474" s="10" t="n"/>
      <c r="D474" s="10">
        <f>IFERROR(T(VLOOKUP($A474,Players!$A:$E,2,FALSE)),"")</f>
        <v/>
      </c>
      <c r="E474" s="9" t="n"/>
      <c r="F474" s="10" t="n"/>
    </row>
    <row r="475">
      <c r="A475" s="5" t="n"/>
      <c r="B475" s="6" t="n"/>
      <c r="C475" s="7" t="n"/>
      <c r="D475" s="7">
        <f>IFERROR(T(VLOOKUP($A475,Players!$A:$E,2,FALSE)),"")</f>
        <v/>
      </c>
      <c r="E475" s="6" t="n"/>
      <c r="F475" s="7" t="n"/>
    </row>
    <row r="476">
      <c r="A476" s="8" t="n"/>
      <c r="B476" s="9" t="n"/>
      <c r="C476" s="10" t="n"/>
      <c r="D476" s="10">
        <f>IFERROR(T(VLOOKUP($A476,Players!$A:$E,2,FALSE)),"")</f>
        <v/>
      </c>
      <c r="E476" s="9" t="n"/>
      <c r="F476" s="10" t="n"/>
    </row>
    <row r="477">
      <c r="A477" s="5" t="n"/>
      <c r="B477" s="6" t="n"/>
      <c r="C477" s="7" t="n"/>
      <c r="D477" s="7">
        <f>IFERROR(T(VLOOKUP($A477,Players!$A:$E,2,FALSE)),"")</f>
        <v/>
      </c>
      <c r="E477" s="6" t="n"/>
      <c r="F477" s="7" t="n"/>
    </row>
    <row r="478">
      <c r="A478" s="8" t="n"/>
      <c r="B478" s="9" t="n"/>
      <c r="C478" s="10" t="n"/>
      <c r="D478" s="10">
        <f>IFERROR(T(VLOOKUP($A478,Players!$A:$E,2,FALSE)),"")</f>
        <v/>
      </c>
      <c r="E478" s="9" t="n"/>
      <c r="F478" s="10" t="n"/>
    </row>
    <row r="479">
      <c r="A479" s="5" t="n"/>
      <c r="B479" s="6" t="n"/>
      <c r="C479" s="7" t="n"/>
      <c r="D479" s="7">
        <f>IFERROR(T(VLOOKUP($A479,Players!$A:$E,2,FALSE)),"")</f>
        <v/>
      </c>
      <c r="E479" s="6" t="n"/>
      <c r="F479" s="7" t="n"/>
    </row>
    <row r="480">
      <c r="A480" s="8" t="n"/>
      <c r="B480" s="9" t="n"/>
      <c r="C480" s="10" t="n"/>
      <c r="D480" s="10">
        <f>IFERROR(T(VLOOKUP($A480,Players!$A:$E,2,FALSE)),"")</f>
        <v/>
      </c>
      <c r="E480" s="9" t="n"/>
      <c r="F480" s="10" t="n"/>
    </row>
    <row r="481">
      <c r="A481" s="5" t="n"/>
      <c r="B481" s="6" t="n"/>
      <c r="C481" s="7" t="n"/>
      <c r="D481" s="7">
        <f>IFERROR(T(VLOOKUP($A481,Players!$A:$E,2,FALSE)),"")</f>
        <v/>
      </c>
      <c r="E481" s="6" t="n"/>
      <c r="F481" s="7" t="n"/>
    </row>
    <row r="482">
      <c r="A482" s="8" t="n"/>
      <c r="B482" s="9" t="n"/>
      <c r="C482" s="10" t="n"/>
      <c r="D482" s="10">
        <f>IFERROR(T(VLOOKUP($A482,Players!$A:$E,2,FALSE)),"")</f>
        <v/>
      </c>
      <c r="E482" s="9" t="n"/>
      <c r="F482" s="10" t="n"/>
    </row>
    <row r="483">
      <c r="A483" s="5" t="n"/>
      <c r="B483" s="6" t="n"/>
      <c r="C483" s="7" t="n"/>
      <c r="D483" s="7">
        <f>IFERROR(T(VLOOKUP($A483,Players!$A:$E,2,FALSE)),"")</f>
        <v/>
      </c>
      <c r="E483" s="6" t="n"/>
      <c r="F483" s="7" t="n"/>
    </row>
    <row r="484">
      <c r="A484" s="8" t="n"/>
      <c r="B484" s="9" t="n"/>
      <c r="C484" s="10" t="n"/>
      <c r="D484" s="10">
        <f>IFERROR(T(VLOOKUP($A484,Players!$A:$E,2,FALSE)),"")</f>
        <v/>
      </c>
      <c r="E484" s="9" t="n"/>
      <c r="F484" s="10" t="n"/>
    </row>
    <row r="485">
      <c r="A485" s="5" t="n"/>
      <c r="B485" s="6" t="n"/>
      <c r="C485" s="7" t="n"/>
      <c r="D485" s="7">
        <f>IFERROR(T(VLOOKUP($A485,Players!$A:$E,2,FALSE)),"")</f>
        <v/>
      </c>
      <c r="E485" s="6" t="n"/>
      <c r="F485" s="7" t="n"/>
    </row>
    <row r="486">
      <c r="A486" s="8" t="n"/>
      <c r="B486" s="9" t="n"/>
      <c r="C486" s="10" t="n"/>
      <c r="D486" s="10">
        <f>IFERROR(T(VLOOKUP($A486,Players!$A:$E,2,FALSE)),"")</f>
        <v/>
      </c>
      <c r="E486" s="9" t="n"/>
      <c r="F486" s="10" t="n"/>
    </row>
    <row r="487">
      <c r="A487" s="5" t="n"/>
      <c r="B487" s="6" t="n"/>
      <c r="C487" s="7" t="n"/>
      <c r="D487" s="7">
        <f>IFERROR(T(VLOOKUP($A487,Players!$A:$E,2,FALSE)),"")</f>
        <v/>
      </c>
      <c r="E487" s="6" t="n"/>
      <c r="F487" s="7" t="n"/>
    </row>
    <row r="488">
      <c r="A488" s="8" t="n"/>
      <c r="B488" s="9" t="n"/>
      <c r="C488" s="10" t="n"/>
      <c r="D488" s="10">
        <f>IFERROR(T(VLOOKUP($A488,Players!$A:$E,2,FALSE)),"")</f>
        <v/>
      </c>
      <c r="E488" s="9" t="n"/>
      <c r="F488" s="10" t="n"/>
    </row>
    <row r="489">
      <c r="A489" s="5" t="n"/>
      <c r="B489" s="6" t="n"/>
      <c r="C489" s="7" t="n"/>
      <c r="D489" s="7">
        <f>IFERROR(T(VLOOKUP($A489,Players!$A:$E,2,FALSE)),"")</f>
        <v/>
      </c>
      <c r="E489" s="6" t="n"/>
      <c r="F489" s="7" t="n"/>
    </row>
    <row r="490">
      <c r="A490" s="8" t="n"/>
      <c r="B490" s="9" t="n"/>
      <c r="C490" s="10" t="n"/>
      <c r="D490" s="10">
        <f>IFERROR(T(VLOOKUP($A490,Players!$A:$E,2,FALSE)),"")</f>
        <v/>
      </c>
      <c r="E490" s="9" t="n"/>
      <c r="F490" s="10" t="n"/>
    </row>
    <row r="491">
      <c r="A491" s="5" t="n"/>
      <c r="B491" s="6" t="n"/>
      <c r="C491" s="7" t="n"/>
      <c r="D491" s="7">
        <f>IFERROR(T(VLOOKUP($A491,Players!$A:$E,2,FALSE)),"")</f>
        <v/>
      </c>
      <c r="E491" s="6" t="n"/>
      <c r="F491" s="7" t="n"/>
    </row>
    <row r="492">
      <c r="A492" s="8" t="n"/>
      <c r="B492" s="9" t="n"/>
      <c r="C492" s="10" t="n"/>
      <c r="D492" s="10">
        <f>IFERROR(T(VLOOKUP($A492,Players!$A:$E,2,FALSE)),"")</f>
        <v/>
      </c>
      <c r="E492" s="9" t="n"/>
      <c r="F492" s="10" t="n"/>
    </row>
    <row r="493">
      <c r="A493" s="5" t="n"/>
      <c r="B493" s="6" t="n"/>
      <c r="C493" s="7" t="n"/>
      <c r="D493" s="7">
        <f>IFERROR(T(VLOOKUP($A493,Players!$A:$E,2,FALSE)),"")</f>
        <v/>
      </c>
      <c r="E493" s="6" t="n"/>
      <c r="F493" s="7" t="n"/>
    </row>
    <row r="494">
      <c r="A494" s="8" t="n"/>
      <c r="B494" s="9" t="n"/>
      <c r="C494" s="10" t="n"/>
      <c r="D494" s="10">
        <f>IFERROR(T(VLOOKUP($A494,Players!$A:$E,2,FALSE)),"")</f>
        <v/>
      </c>
      <c r="E494" s="9" t="n"/>
      <c r="F494" s="10" t="n"/>
    </row>
    <row r="495">
      <c r="A495" s="5" t="n"/>
      <c r="B495" s="6" t="n"/>
      <c r="C495" s="7" t="n"/>
      <c r="D495" s="7">
        <f>IFERROR(T(VLOOKUP($A495,Players!$A:$E,2,FALSE)),"")</f>
        <v/>
      </c>
      <c r="E495" s="6" t="n"/>
      <c r="F495" s="7" t="n"/>
    </row>
    <row r="496">
      <c r="A496" s="8" t="n"/>
      <c r="B496" s="9" t="n"/>
      <c r="C496" s="10" t="n"/>
      <c r="D496" s="10">
        <f>IFERROR(T(VLOOKUP($A496,Players!$A:$E,2,FALSE)),"")</f>
        <v/>
      </c>
      <c r="E496" s="9" t="n"/>
      <c r="F496" s="10" t="n"/>
    </row>
    <row r="497">
      <c r="A497" s="5" t="n"/>
      <c r="B497" s="6" t="n"/>
      <c r="C497" s="7" t="n"/>
      <c r="D497" s="7">
        <f>IFERROR(T(VLOOKUP($A497,Players!$A:$E,2,FALSE)),"")</f>
        <v/>
      </c>
      <c r="E497" s="6" t="n"/>
      <c r="F497" s="7" t="n"/>
    </row>
    <row r="498">
      <c r="A498" s="8" t="n"/>
      <c r="B498" s="9" t="n"/>
      <c r="C498" s="10" t="n"/>
      <c r="D498" s="10">
        <f>IFERROR(T(VLOOKUP($A498,Players!$A:$E,2,FALSE)),"")</f>
        <v/>
      </c>
      <c r="E498" s="9" t="n"/>
      <c r="F498" s="10" t="n"/>
    </row>
    <row r="499">
      <c r="A499" s="5" t="n"/>
      <c r="B499" s="6" t="n"/>
      <c r="C499" s="7" t="n"/>
      <c r="D499" s="7">
        <f>IFERROR(T(VLOOKUP($A499,Players!$A:$E,2,FALSE)),"")</f>
        <v/>
      </c>
      <c r="E499" s="6" t="n"/>
      <c r="F499" s="7" t="n"/>
    </row>
    <row r="500">
      <c r="A500" s="8" t="n"/>
      <c r="B500" s="9" t="n"/>
      <c r="C500" s="10" t="n"/>
      <c r="D500" s="10">
        <f>IFERROR(T(VLOOKUP($A500,Players!$A:$E,2,FALSE)),"")</f>
        <v/>
      </c>
      <c r="E500" s="9" t="n"/>
      <c r="F500" s="10" t="n"/>
    </row>
    <row r="501">
      <c r="A501" s="5" t="n"/>
      <c r="B501" s="6" t="n"/>
      <c r="C501" s="7" t="n"/>
      <c r="D501" s="7">
        <f>IFERROR(T(VLOOKUP($A501,Players!$A:$E,2,FALSE)),"")</f>
        <v/>
      </c>
      <c r="E501" s="6" t="n"/>
      <c r="F501" s="7" t="n"/>
    </row>
    <row r="502">
      <c r="A502" s="8" t="n"/>
      <c r="B502" s="9" t="n"/>
      <c r="C502" s="10" t="n"/>
      <c r="D502" s="10">
        <f>IFERROR(T(VLOOKUP($A502,Players!$A:$E,2,FALSE)),"")</f>
        <v/>
      </c>
      <c r="E502" s="9" t="n"/>
      <c r="F502" s="10" t="n"/>
    </row>
    <row r="503">
      <c r="A503" s="5" t="n"/>
      <c r="B503" s="6" t="n"/>
      <c r="C503" s="7" t="n"/>
      <c r="D503" s="7">
        <f>IFERROR(T(VLOOKUP($A503,Players!$A:$E,2,FALSE)),"")</f>
        <v/>
      </c>
      <c r="E503" s="6" t="n"/>
      <c r="F503" s="7" t="n"/>
    </row>
    <row r="504">
      <c r="A504" s="8" t="n"/>
      <c r="B504" s="9" t="n"/>
      <c r="C504" s="10" t="n"/>
      <c r="D504" s="10">
        <f>IFERROR(T(VLOOKUP($A504,Players!$A:$E,2,FALSE)),"")</f>
        <v/>
      </c>
      <c r="E504" s="9" t="n"/>
      <c r="F504" s="10" t="n"/>
    </row>
    <row r="505">
      <c r="A505" s="5" t="n"/>
      <c r="B505" s="6" t="n"/>
      <c r="C505" s="7" t="n"/>
      <c r="D505" s="7">
        <f>IFERROR(T(VLOOKUP($A505,Players!$A:$E,2,FALSE)),"")</f>
        <v/>
      </c>
      <c r="E505" s="6" t="n"/>
      <c r="F505" s="7" t="n"/>
    </row>
    <row r="506">
      <c r="A506" s="8" t="n"/>
      <c r="B506" s="9" t="n"/>
      <c r="C506" s="10" t="n"/>
      <c r="D506" s="10">
        <f>IFERROR(T(VLOOKUP($A506,Players!$A:$E,2,FALSE)),"")</f>
        <v/>
      </c>
      <c r="E506" s="9" t="n"/>
      <c r="F506" s="10" t="n"/>
    </row>
    <row r="507">
      <c r="A507" s="5" t="n"/>
      <c r="B507" s="6" t="n"/>
      <c r="C507" s="7" t="n"/>
      <c r="D507" s="7">
        <f>IFERROR(T(VLOOKUP($A507,Players!$A:$E,2,FALSE)),"")</f>
        <v/>
      </c>
      <c r="E507" s="6" t="n"/>
      <c r="F507" s="7" t="n"/>
    </row>
    <row r="508">
      <c r="A508" s="8" t="n"/>
      <c r="B508" s="9" t="n"/>
      <c r="C508" s="10" t="n"/>
      <c r="D508" s="10">
        <f>IFERROR(T(VLOOKUP($A508,Players!$A:$E,2,FALSE)),"")</f>
        <v/>
      </c>
      <c r="E508" s="9" t="n"/>
      <c r="F508" s="10" t="n"/>
    </row>
    <row r="509">
      <c r="A509" s="5" t="n"/>
      <c r="B509" s="6" t="n"/>
      <c r="C509" s="7" t="n"/>
      <c r="D509" s="7">
        <f>IFERROR(T(VLOOKUP($A509,Players!$A:$E,2,FALSE)),"")</f>
        <v/>
      </c>
      <c r="E509" s="6" t="n"/>
      <c r="F509" s="7" t="n"/>
    </row>
    <row r="510">
      <c r="A510" s="8" t="n"/>
      <c r="B510" s="9" t="n"/>
      <c r="C510" s="10" t="n"/>
      <c r="D510" s="10">
        <f>IFERROR(T(VLOOKUP($A510,Players!$A:$E,2,FALSE)),"")</f>
        <v/>
      </c>
      <c r="E510" s="9" t="n"/>
      <c r="F510" s="10" t="n"/>
    </row>
    <row r="511">
      <c r="A511" s="5" t="n"/>
      <c r="B511" s="6" t="n"/>
      <c r="C511" s="7" t="n"/>
      <c r="D511" s="7">
        <f>IFERROR(T(VLOOKUP($A511,Players!$A:$E,2,FALSE)),"")</f>
        <v/>
      </c>
      <c r="E511" s="6" t="n"/>
      <c r="F511" s="7" t="n"/>
    </row>
    <row r="512">
      <c r="A512" s="8" t="n"/>
      <c r="B512" s="9" t="n"/>
      <c r="C512" s="10" t="n"/>
      <c r="D512" s="10">
        <f>IFERROR(T(VLOOKUP($A512,Players!$A:$E,2,FALSE)),"")</f>
        <v/>
      </c>
      <c r="E512" s="9" t="n"/>
      <c r="F512" s="10" t="n"/>
    </row>
    <row r="513">
      <c r="A513" s="5" t="n"/>
      <c r="B513" s="6" t="n"/>
      <c r="C513" s="7" t="n"/>
      <c r="D513" s="7">
        <f>IFERROR(T(VLOOKUP($A513,Players!$A:$E,2,FALSE)),"")</f>
        <v/>
      </c>
      <c r="E513" s="6" t="n"/>
      <c r="F513" s="7" t="n"/>
    </row>
    <row r="514">
      <c r="A514" s="8" t="n"/>
      <c r="B514" s="9" t="n"/>
      <c r="C514" s="10" t="n"/>
      <c r="D514" s="10">
        <f>IFERROR(T(VLOOKUP($A514,Players!$A:$E,2,FALSE)),"")</f>
        <v/>
      </c>
      <c r="E514" s="9" t="n"/>
      <c r="F514" s="10" t="n"/>
    </row>
    <row r="515">
      <c r="A515" s="5" t="n"/>
      <c r="B515" s="6" t="n"/>
      <c r="C515" s="7" t="n"/>
      <c r="D515" s="7">
        <f>IFERROR(T(VLOOKUP($A515,Players!$A:$E,2,FALSE)),"")</f>
        <v/>
      </c>
      <c r="E515" s="6" t="n"/>
      <c r="F515" s="7" t="n"/>
    </row>
    <row r="516">
      <c r="A516" s="8" t="n"/>
      <c r="B516" s="9" t="n"/>
      <c r="C516" s="10" t="n"/>
      <c r="D516" s="10">
        <f>IFERROR(T(VLOOKUP($A516,Players!$A:$E,2,FALSE)),"")</f>
        <v/>
      </c>
      <c r="E516" s="9" t="n"/>
      <c r="F516" s="10" t="n"/>
    </row>
    <row r="517">
      <c r="A517" s="5" t="n"/>
      <c r="B517" s="6" t="n"/>
      <c r="C517" s="7" t="n"/>
      <c r="D517" s="7">
        <f>IFERROR(T(VLOOKUP($A517,Players!$A:$E,2,FALSE)),"")</f>
        <v/>
      </c>
      <c r="E517" s="6" t="n"/>
      <c r="F517" s="7" t="n"/>
    </row>
    <row r="518">
      <c r="A518" s="8" t="n"/>
      <c r="B518" s="9" t="n"/>
      <c r="C518" s="10" t="n"/>
      <c r="D518" s="10">
        <f>IFERROR(T(VLOOKUP($A518,Players!$A:$E,2,FALSE)),"")</f>
        <v/>
      </c>
      <c r="E518" s="9" t="n"/>
      <c r="F518" s="10" t="n"/>
    </row>
    <row r="519">
      <c r="A519" s="5" t="n"/>
      <c r="B519" s="6" t="n"/>
      <c r="C519" s="7" t="n"/>
      <c r="D519" s="7">
        <f>IFERROR(T(VLOOKUP($A519,Players!$A:$E,2,FALSE)),"")</f>
        <v/>
      </c>
      <c r="E519" s="6" t="n"/>
      <c r="F519" s="7" t="n"/>
    </row>
    <row r="520">
      <c r="A520" s="8" t="n"/>
      <c r="B520" s="9" t="n"/>
      <c r="C520" s="10" t="n"/>
      <c r="D520" s="10">
        <f>IFERROR(T(VLOOKUP($A520,Players!$A:$E,2,FALSE)),"")</f>
        <v/>
      </c>
      <c r="E520" s="9" t="n"/>
      <c r="F520" s="10" t="n"/>
    </row>
    <row r="521">
      <c r="A521" s="5" t="n"/>
      <c r="B521" s="6" t="n"/>
      <c r="C521" s="7" t="n"/>
      <c r="D521" s="7">
        <f>IFERROR(T(VLOOKUP($A521,Players!$A:$E,2,FALSE)),"")</f>
        <v/>
      </c>
      <c r="E521" s="6" t="n"/>
      <c r="F521" s="7" t="n"/>
    </row>
    <row r="522">
      <c r="A522" s="8" t="n"/>
      <c r="B522" s="9" t="n"/>
      <c r="C522" s="10" t="n"/>
      <c r="D522" s="10">
        <f>IFERROR(T(VLOOKUP($A522,Players!$A:$E,2,FALSE)),"")</f>
        <v/>
      </c>
      <c r="E522" s="9" t="n"/>
      <c r="F522" s="10" t="n"/>
    </row>
    <row r="523">
      <c r="A523" s="5" t="n"/>
      <c r="B523" s="6" t="n"/>
      <c r="C523" s="7" t="n"/>
      <c r="D523" s="7">
        <f>IFERROR(T(VLOOKUP($A523,Players!$A:$E,2,FALSE)),"")</f>
        <v/>
      </c>
      <c r="E523" s="6" t="n"/>
      <c r="F523" s="7" t="n"/>
    </row>
    <row r="524">
      <c r="A524" s="8" t="n"/>
      <c r="B524" s="9" t="n"/>
      <c r="C524" s="10" t="n"/>
      <c r="D524" s="10">
        <f>IFERROR(T(VLOOKUP($A524,Players!$A:$E,2,FALSE)),"")</f>
        <v/>
      </c>
      <c r="E524" s="9" t="n"/>
      <c r="F524" s="10" t="n"/>
    </row>
    <row r="525">
      <c r="A525" s="5" t="n"/>
      <c r="B525" s="6" t="n"/>
      <c r="C525" s="7" t="n"/>
      <c r="D525" s="7">
        <f>IFERROR(T(VLOOKUP($A525,Players!$A:$E,2,FALSE)),"")</f>
        <v/>
      </c>
      <c r="E525" s="6" t="n"/>
      <c r="F525" s="7" t="n"/>
    </row>
    <row r="526">
      <c r="A526" s="8" t="n"/>
      <c r="B526" s="9" t="n"/>
      <c r="C526" s="10" t="n"/>
      <c r="D526" s="10">
        <f>IFERROR(T(VLOOKUP($A526,Players!$A:$E,2,FALSE)),"")</f>
        <v/>
      </c>
      <c r="E526" s="9" t="n"/>
      <c r="F526" s="10" t="n"/>
    </row>
    <row r="527">
      <c r="A527" s="5" t="n"/>
      <c r="B527" s="6" t="n"/>
      <c r="C527" s="7" t="n"/>
      <c r="D527" s="7">
        <f>IFERROR(T(VLOOKUP($A527,Players!$A:$E,2,FALSE)),"")</f>
        <v/>
      </c>
      <c r="E527" s="6" t="n"/>
      <c r="F527" s="7" t="n"/>
    </row>
    <row r="528">
      <c r="A528" s="8" t="n"/>
      <c r="B528" s="9" t="n"/>
      <c r="C528" s="10" t="n"/>
      <c r="D528" s="10">
        <f>IFERROR(T(VLOOKUP($A528,Players!$A:$E,2,FALSE)),"")</f>
        <v/>
      </c>
      <c r="E528" s="9" t="n"/>
      <c r="F528" s="10" t="n"/>
    </row>
    <row r="529">
      <c r="A529" s="5" t="n"/>
      <c r="B529" s="6" t="n"/>
      <c r="C529" s="7" t="n"/>
      <c r="D529" s="7">
        <f>IFERROR(T(VLOOKUP($A529,Players!$A:$E,2,FALSE)),"")</f>
        <v/>
      </c>
      <c r="E529" s="6" t="n"/>
      <c r="F529" s="7" t="n"/>
    </row>
    <row r="530">
      <c r="A530" s="8" t="n"/>
      <c r="B530" s="9" t="n"/>
      <c r="C530" s="10" t="n"/>
      <c r="D530" s="10">
        <f>IFERROR(T(VLOOKUP($A530,Players!$A:$E,2,FALSE)),"")</f>
        <v/>
      </c>
      <c r="E530" s="9" t="n"/>
      <c r="F530" s="10" t="n"/>
    </row>
    <row r="531">
      <c r="A531" s="5" t="n"/>
      <c r="B531" s="6" t="n"/>
      <c r="C531" s="7" t="n"/>
      <c r="D531" s="7">
        <f>IFERROR(T(VLOOKUP($A531,Players!$A:$E,2,FALSE)),"")</f>
        <v/>
      </c>
      <c r="E531" s="6" t="n"/>
      <c r="F531" s="7" t="n"/>
    </row>
    <row r="532">
      <c r="A532" s="8" t="n"/>
      <c r="B532" s="9" t="n"/>
      <c r="C532" s="10" t="n"/>
      <c r="D532" s="10">
        <f>IFERROR(T(VLOOKUP($A532,Players!$A:$E,2,FALSE)),"")</f>
        <v/>
      </c>
      <c r="E532" s="9" t="n"/>
      <c r="F532" s="10" t="n"/>
    </row>
    <row r="533">
      <c r="A533" s="5" t="n"/>
      <c r="B533" s="6" t="n"/>
      <c r="C533" s="7" t="n"/>
      <c r="D533" s="7">
        <f>IFERROR(T(VLOOKUP($A533,Players!$A:$E,2,FALSE)),"")</f>
        <v/>
      </c>
      <c r="E533" s="6" t="n"/>
      <c r="F533" s="7" t="n"/>
    </row>
    <row r="534">
      <c r="A534" s="8" t="n"/>
      <c r="B534" s="9" t="n"/>
      <c r="C534" s="10" t="n"/>
      <c r="D534" s="10">
        <f>IFERROR(T(VLOOKUP($A534,Players!$A:$E,2,FALSE)),"")</f>
        <v/>
      </c>
      <c r="E534" s="9" t="n"/>
      <c r="F534" s="10" t="n"/>
    </row>
    <row r="535">
      <c r="A535" s="5" t="n"/>
      <c r="B535" s="6" t="n"/>
      <c r="C535" s="7" t="n"/>
      <c r="D535" s="7">
        <f>IFERROR(T(VLOOKUP($A535,Players!$A:$E,2,FALSE)),"")</f>
        <v/>
      </c>
      <c r="E535" s="6" t="n"/>
      <c r="F535" s="7" t="n"/>
    </row>
    <row r="536">
      <c r="A536" s="8" t="n"/>
      <c r="B536" s="9" t="n"/>
      <c r="C536" s="10" t="n"/>
      <c r="D536" s="10">
        <f>IFERROR(T(VLOOKUP($A536,Players!$A:$E,2,FALSE)),"")</f>
        <v/>
      </c>
      <c r="E536" s="9" t="n"/>
      <c r="F536" s="10" t="n"/>
    </row>
    <row r="537">
      <c r="A537" s="5" t="n"/>
      <c r="B537" s="6" t="n"/>
      <c r="C537" s="7" t="n"/>
      <c r="D537" s="7">
        <f>IFERROR(T(VLOOKUP($A537,Players!$A:$E,2,FALSE)),"")</f>
        <v/>
      </c>
      <c r="E537" s="6" t="n"/>
      <c r="F537" s="7" t="n"/>
    </row>
    <row r="538">
      <c r="A538" s="8" t="n"/>
      <c r="B538" s="9" t="n"/>
      <c r="C538" s="10" t="n"/>
      <c r="D538" s="10">
        <f>IFERROR(T(VLOOKUP($A538,Players!$A:$E,2,FALSE)),"")</f>
        <v/>
      </c>
      <c r="E538" s="9" t="n"/>
      <c r="F538" s="10" t="n"/>
    </row>
    <row r="539">
      <c r="A539" s="5" t="n"/>
      <c r="B539" s="6" t="n"/>
      <c r="C539" s="7" t="n"/>
      <c r="D539" s="7">
        <f>IFERROR(T(VLOOKUP($A539,Players!$A:$E,2,FALSE)),"")</f>
        <v/>
      </c>
      <c r="E539" s="6" t="n"/>
      <c r="F539" s="7" t="n"/>
    </row>
    <row r="540">
      <c r="A540" s="8" t="n"/>
      <c r="B540" s="9" t="n"/>
      <c r="C540" s="10" t="n"/>
      <c r="D540" s="10">
        <f>IFERROR(T(VLOOKUP($A540,Players!$A:$E,2,FALSE)),"")</f>
        <v/>
      </c>
      <c r="E540" s="9" t="n"/>
      <c r="F540" s="10" t="n"/>
    </row>
    <row r="541">
      <c r="A541" s="5" t="n"/>
      <c r="B541" s="6" t="n"/>
      <c r="C541" s="7" t="n"/>
      <c r="D541" s="7">
        <f>IFERROR(T(VLOOKUP($A541,Players!$A:$E,2,FALSE)),"")</f>
        <v/>
      </c>
      <c r="E541" s="6" t="n"/>
      <c r="F541" s="7" t="n"/>
    </row>
    <row r="542">
      <c r="A542" s="8" t="n"/>
      <c r="B542" s="9" t="n"/>
      <c r="C542" s="10" t="n"/>
      <c r="D542" s="10">
        <f>IFERROR(T(VLOOKUP($A542,Players!$A:$E,2,FALSE)),"")</f>
        <v/>
      </c>
      <c r="E542" s="9" t="n"/>
      <c r="F542" s="10" t="n"/>
    </row>
    <row r="543">
      <c r="A543" s="5" t="n"/>
      <c r="B543" s="6" t="n"/>
      <c r="C543" s="7" t="n"/>
      <c r="D543" s="7">
        <f>IFERROR(T(VLOOKUP($A543,Players!$A:$E,2,FALSE)),"")</f>
        <v/>
      </c>
      <c r="E543" s="6" t="n"/>
      <c r="F543" s="7" t="n"/>
    </row>
    <row r="544">
      <c r="A544" s="8" t="n"/>
      <c r="B544" s="9" t="n"/>
      <c r="C544" s="10" t="n"/>
      <c r="D544" s="10">
        <f>IFERROR(T(VLOOKUP($A544,Players!$A:$E,2,FALSE)),"")</f>
        <v/>
      </c>
      <c r="E544" s="9" t="n"/>
      <c r="F544" s="10" t="n"/>
    </row>
    <row r="545">
      <c r="A545" s="5" t="n"/>
      <c r="B545" s="6" t="n"/>
      <c r="C545" s="7" t="n"/>
      <c r="D545" s="7">
        <f>IFERROR(T(VLOOKUP($A545,Players!$A:$E,2,FALSE)),"")</f>
        <v/>
      </c>
      <c r="E545" s="6" t="n"/>
      <c r="F545" s="7" t="n"/>
    </row>
    <row r="546">
      <c r="A546" s="8" t="n"/>
      <c r="B546" s="9" t="n"/>
      <c r="C546" s="10" t="n"/>
      <c r="D546" s="10">
        <f>IFERROR(T(VLOOKUP($A546,Players!$A:$E,2,FALSE)),"")</f>
        <v/>
      </c>
      <c r="E546" s="9" t="n"/>
      <c r="F546" s="10" t="n"/>
    </row>
    <row r="547">
      <c r="A547" s="5" t="n"/>
      <c r="B547" s="6" t="n"/>
      <c r="C547" s="7" t="n"/>
      <c r="D547" s="7">
        <f>IFERROR(T(VLOOKUP($A547,Players!$A:$E,2,FALSE)),"")</f>
        <v/>
      </c>
      <c r="E547" s="6" t="n"/>
      <c r="F547" s="7" t="n"/>
    </row>
    <row r="548">
      <c r="A548" s="8" t="n"/>
      <c r="B548" s="9" t="n"/>
      <c r="C548" s="10" t="n"/>
      <c r="D548" s="10">
        <f>IFERROR(T(VLOOKUP($A548,Players!$A:$E,2,FALSE)),"")</f>
        <v/>
      </c>
      <c r="E548" s="9" t="n"/>
      <c r="F548" s="10" t="n"/>
    </row>
    <row r="549">
      <c r="A549" s="5" t="n"/>
      <c r="B549" s="6" t="n"/>
      <c r="C549" s="7" t="n"/>
      <c r="D549" s="7">
        <f>IFERROR(T(VLOOKUP($A549,Players!$A:$E,2,FALSE)),"")</f>
        <v/>
      </c>
      <c r="E549" s="6" t="n"/>
      <c r="F549" s="7" t="n"/>
    </row>
    <row r="550">
      <c r="A550" s="8" t="n"/>
      <c r="B550" s="9" t="n"/>
      <c r="C550" s="10" t="n"/>
      <c r="D550" s="10">
        <f>IFERROR(T(VLOOKUP($A550,Players!$A:$E,2,FALSE)),"")</f>
        <v/>
      </c>
      <c r="E550" s="9" t="n"/>
      <c r="F550" s="10" t="n"/>
    </row>
    <row r="551">
      <c r="A551" s="5" t="n"/>
      <c r="B551" s="6" t="n"/>
      <c r="C551" s="7" t="n"/>
      <c r="D551" s="7">
        <f>IFERROR(T(VLOOKUP($A551,Players!$A:$E,2,FALSE)),"")</f>
        <v/>
      </c>
      <c r="E551" s="6" t="n"/>
      <c r="F551" s="7" t="n"/>
    </row>
    <row r="552">
      <c r="A552" s="8" t="n"/>
      <c r="B552" s="9" t="n"/>
      <c r="C552" s="10" t="n"/>
      <c r="D552" s="10">
        <f>IFERROR(T(VLOOKUP($A552,Players!$A:$E,2,FALSE)),"")</f>
        <v/>
      </c>
      <c r="E552" s="9" t="n"/>
      <c r="F552" s="10" t="n"/>
    </row>
    <row r="553">
      <c r="A553" s="5" t="n"/>
      <c r="B553" s="6" t="n"/>
      <c r="C553" s="7" t="n"/>
      <c r="D553" s="7">
        <f>IFERROR(T(VLOOKUP($A553,Players!$A:$E,2,FALSE)),"")</f>
        <v/>
      </c>
      <c r="E553" s="6" t="n"/>
      <c r="F553" s="7" t="n"/>
    </row>
    <row r="554">
      <c r="A554" s="8" t="n"/>
      <c r="B554" s="9" t="n"/>
      <c r="C554" s="10" t="n"/>
      <c r="D554" s="10">
        <f>IFERROR(T(VLOOKUP($A554,Players!$A:$E,2,FALSE)),"")</f>
        <v/>
      </c>
      <c r="E554" s="9" t="n"/>
      <c r="F554" s="10" t="n"/>
    </row>
    <row r="555">
      <c r="A555" s="5" t="n"/>
      <c r="B555" s="6" t="n"/>
      <c r="C555" s="7" t="n"/>
      <c r="D555" s="7">
        <f>IFERROR(T(VLOOKUP($A555,Players!$A:$E,2,FALSE)),"")</f>
        <v/>
      </c>
      <c r="E555" s="6" t="n"/>
      <c r="F555" s="7" t="n"/>
    </row>
    <row r="556">
      <c r="A556" s="8" t="n"/>
      <c r="B556" s="9" t="n"/>
      <c r="C556" s="10" t="n"/>
      <c r="D556" s="10">
        <f>IFERROR(T(VLOOKUP($A556,Players!$A:$E,2,FALSE)),"")</f>
        <v/>
      </c>
      <c r="E556" s="9" t="n"/>
      <c r="F556" s="10" t="n"/>
    </row>
    <row r="557">
      <c r="A557" s="5" t="n"/>
      <c r="B557" s="6" t="n"/>
      <c r="C557" s="7" t="n"/>
      <c r="D557" s="7">
        <f>IFERROR(T(VLOOKUP($A557,Players!$A:$E,2,FALSE)),"")</f>
        <v/>
      </c>
      <c r="E557" s="6" t="n"/>
      <c r="F557" s="7" t="n"/>
    </row>
    <row r="558">
      <c r="A558" s="8" t="n"/>
      <c r="B558" s="9" t="n"/>
      <c r="C558" s="10" t="n"/>
      <c r="D558" s="10">
        <f>IFERROR(T(VLOOKUP($A558,Players!$A:$E,2,FALSE)),"")</f>
        <v/>
      </c>
      <c r="E558" s="9" t="n"/>
      <c r="F558" s="10" t="n"/>
    </row>
    <row r="559">
      <c r="A559" s="5" t="n"/>
      <c r="B559" s="6" t="n"/>
      <c r="C559" s="7" t="n"/>
      <c r="D559" s="7">
        <f>IFERROR(T(VLOOKUP($A559,Players!$A:$E,2,FALSE)),"")</f>
        <v/>
      </c>
      <c r="E559" s="6" t="n"/>
      <c r="F559" s="7" t="n"/>
    </row>
    <row r="560">
      <c r="A560" s="8" t="n"/>
      <c r="B560" s="9" t="n"/>
      <c r="C560" s="10" t="n"/>
      <c r="D560" s="10">
        <f>IFERROR(T(VLOOKUP($A560,Players!$A:$E,2,FALSE)),"")</f>
        <v/>
      </c>
      <c r="E560" s="9" t="n"/>
      <c r="F560" s="10" t="n"/>
    </row>
    <row r="561">
      <c r="A561" s="5" t="n"/>
      <c r="B561" s="6" t="n"/>
      <c r="C561" s="7" t="n"/>
      <c r="D561" s="7">
        <f>IFERROR(T(VLOOKUP($A561,Players!$A:$E,2,FALSE)),"")</f>
        <v/>
      </c>
      <c r="E561" s="6" t="n"/>
      <c r="F561" s="7" t="n"/>
    </row>
    <row r="562">
      <c r="A562" s="8" t="n"/>
      <c r="B562" s="9" t="n"/>
      <c r="C562" s="10" t="n"/>
      <c r="D562" s="10">
        <f>IFERROR(T(VLOOKUP($A562,Players!$A:$E,2,FALSE)),"")</f>
        <v/>
      </c>
      <c r="E562" s="9" t="n"/>
      <c r="F562" s="10" t="n"/>
    </row>
    <row r="563">
      <c r="A563" s="5" t="n"/>
      <c r="B563" s="6" t="n"/>
      <c r="C563" s="7" t="n"/>
      <c r="D563" s="7">
        <f>IFERROR(T(VLOOKUP($A563,Players!$A:$E,2,FALSE)),"")</f>
        <v/>
      </c>
      <c r="E563" s="6" t="n"/>
      <c r="F563" s="7" t="n"/>
    </row>
    <row r="564">
      <c r="A564" s="8" t="n"/>
      <c r="B564" s="9" t="n"/>
      <c r="C564" s="10" t="n"/>
      <c r="D564" s="10">
        <f>IFERROR(T(VLOOKUP($A564,Players!$A:$E,2,FALSE)),"")</f>
        <v/>
      </c>
      <c r="E564" s="9" t="n"/>
      <c r="F564" s="10" t="n"/>
    </row>
    <row r="565">
      <c r="A565" s="5" t="n"/>
      <c r="B565" s="6" t="n"/>
      <c r="C565" s="7" t="n"/>
      <c r="D565" s="7">
        <f>IFERROR(T(VLOOKUP($A565,Players!$A:$E,2,FALSE)),"")</f>
        <v/>
      </c>
      <c r="E565" s="6" t="n"/>
      <c r="F565" s="7" t="n"/>
    </row>
    <row r="566">
      <c r="A566" s="8" t="n"/>
      <c r="B566" s="9" t="n"/>
      <c r="C566" s="10" t="n"/>
      <c r="D566" s="10">
        <f>IFERROR(T(VLOOKUP($A566,Players!$A:$E,2,FALSE)),"")</f>
        <v/>
      </c>
      <c r="E566" s="9" t="n"/>
      <c r="F566" s="10" t="n"/>
    </row>
    <row r="567">
      <c r="A567" s="5" t="n"/>
      <c r="B567" s="6" t="n"/>
      <c r="C567" s="7" t="n"/>
      <c r="D567" s="7">
        <f>IFERROR(T(VLOOKUP($A567,Players!$A:$E,2,FALSE)),"")</f>
        <v/>
      </c>
      <c r="E567" s="6" t="n"/>
      <c r="F567" s="7" t="n"/>
    </row>
    <row r="568">
      <c r="A568" s="8" t="n"/>
      <c r="B568" s="9" t="n"/>
      <c r="C568" s="10" t="n"/>
      <c r="D568" s="10">
        <f>IFERROR(T(VLOOKUP($A568,Players!$A:$E,2,FALSE)),"")</f>
        <v/>
      </c>
      <c r="E568" s="9" t="n"/>
      <c r="F568" s="10" t="n"/>
    </row>
    <row r="569">
      <c r="A569" s="5" t="n"/>
      <c r="B569" s="6" t="n"/>
      <c r="C569" s="7" t="n"/>
      <c r="D569" s="7">
        <f>IFERROR(T(VLOOKUP($A569,Players!$A:$E,2,FALSE)),"")</f>
        <v/>
      </c>
      <c r="E569" s="6" t="n"/>
      <c r="F569" s="7" t="n"/>
    </row>
    <row r="570">
      <c r="A570" s="8" t="n"/>
      <c r="B570" s="9" t="n"/>
      <c r="C570" s="10" t="n"/>
      <c r="D570" s="10">
        <f>IFERROR(T(VLOOKUP($A570,Players!$A:$E,2,FALSE)),"")</f>
        <v/>
      </c>
      <c r="E570" s="9" t="n"/>
      <c r="F570" s="10" t="n"/>
    </row>
    <row r="571">
      <c r="A571" s="5" t="n"/>
      <c r="B571" s="6" t="n"/>
      <c r="C571" s="7" t="n"/>
      <c r="D571" s="7">
        <f>IFERROR(T(VLOOKUP($A571,Players!$A:$E,2,FALSE)),"")</f>
        <v/>
      </c>
      <c r="E571" s="6" t="n"/>
      <c r="F571" s="7" t="n"/>
    </row>
    <row r="572">
      <c r="A572" s="8" t="n"/>
      <c r="B572" s="9" t="n"/>
      <c r="C572" s="10" t="n"/>
      <c r="D572" s="10">
        <f>IFERROR(T(VLOOKUP($A572,Players!$A:$E,2,FALSE)),"")</f>
        <v/>
      </c>
      <c r="E572" s="9" t="n"/>
      <c r="F572" s="10" t="n"/>
    </row>
    <row r="573">
      <c r="A573" s="5" t="n"/>
      <c r="B573" s="6" t="n"/>
      <c r="C573" s="7" t="n"/>
      <c r="D573" s="7">
        <f>IFERROR(T(VLOOKUP($A573,Players!$A:$E,2,FALSE)),"")</f>
        <v/>
      </c>
      <c r="E573" s="6" t="n"/>
      <c r="F573" s="7" t="n"/>
    </row>
    <row r="574">
      <c r="A574" s="8" t="n"/>
      <c r="B574" s="9" t="n"/>
      <c r="C574" s="10" t="n"/>
      <c r="D574" s="10">
        <f>IFERROR(T(VLOOKUP($A574,Players!$A:$E,2,FALSE)),"")</f>
        <v/>
      </c>
      <c r="E574" s="9" t="n"/>
      <c r="F574" s="10" t="n"/>
    </row>
    <row r="575">
      <c r="A575" s="5" t="n"/>
      <c r="B575" s="6" t="n"/>
      <c r="C575" s="7" t="n"/>
      <c r="D575" s="7">
        <f>IFERROR(T(VLOOKUP($A575,Players!$A:$E,2,FALSE)),"")</f>
        <v/>
      </c>
      <c r="E575" s="6" t="n"/>
      <c r="F575" s="7" t="n"/>
    </row>
    <row r="576">
      <c r="A576" s="8" t="n"/>
      <c r="B576" s="9" t="n"/>
      <c r="C576" s="10" t="n"/>
      <c r="D576" s="10">
        <f>IFERROR(T(VLOOKUP($A576,Players!$A:$E,2,FALSE)),"")</f>
        <v/>
      </c>
      <c r="E576" s="9" t="n"/>
      <c r="F576" s="10" t="n"/>
    </row>
    <row r="577">
      <c r="A577" s="5" t="n"/>
      <c r="B577" s="6" t="n"/>
      <c r="C577" s="7" t="n"/>
      <c r="D577" s="7">
        <f>IFERROR(T(VLOOKUP($A577,Players!$A:$E,2,FALSE)),"")</f>
        <v/>
      </c>
      <c r="E577" s="6" t="n"/>
      <c r="F577" s="7" t="n"/>
    </row>
    <row r="578">
      <c r="A578" s="8" t="n"/>
      <c r="B578" s="9" t="n"/>
      <c r="C578" s="10" t="n"/>
      <c r="D578" s="10">
        <f>IFERROR(T(VLOOKUP($A578,Players!$A:$E,2,FALSE)),"")</f>
        <v/>
      </c>
      <c r="E578" s="9" t="n"/>
      <c r="F578" s="10" t="n"/>
    </row>
    <row r="579">
      <c r="A579" s="5" t="n"/>
      <c r="B579" s="6" t="n"/>
      <c r="C579" s="7" t="n"/>
      <c r="D579" s="7">
        <f>IFERROR(T(VLOOKUP($A579,Players!$A:$E,2,FALSE)),"")</f>
        <v/>
      </c>
      <c r="E579" s="6" t="n"/>
      <c r="F579" s="7" t="n"/>
    </row>
    <row r="580">
      <c r="A580" s="8" t="n"/>
      <c r="B580" s="9" t="n"/>
      <c r="C580" s="10" t="n"/>
      <c r="D580" s="10">
        <f>IFERROR(T(VLOOKUP($A580,Players!$A:$E,2,FALSE)),"")</f>
        <v/>
      </c>
      <c r="E580" s="9" t="n"/>
      <c r="F580" s="10" t="n"/>
    </row>
    <row r="581">
      <c r="A581" s="5" t="n"/>
      <c r="B581" s="6" t="n"/>
      <c r="C581" s="7" t="n"/>
      <c r="D581" s="7">
        <f>IFERROR(T(VLOOKUP($A581,Players!$A:$E,2,FALSE)),"")</f>
        <v/>
      </c>
      <c r="E581" s="6" t="n"/>
      <c r="F581" s="7" t="n"/>
    </row>
    <row r="582">
      <c r="A582" s="8" t="n"/>
      <c r="B582" s="9" t="n"/>
      <c r="C582" s="10" t="n"/>
      <c r="D582" s="10">
        <f>IFERROR(T(VLOOKUP($A582,Players!$A:$E,2,FALSE)),"")</f>
        <v/>
      </c>
      <c r="E582" s="9" t="n"/>
      <c r="F582" s="10" t="n"/>
    </row>
    <row r="583">
      <c r="A583" s="5" t="n"/>
      <c r="B583" s="6" t="n"/>
      <c r="C583" s="7" t="n"/>
      <c r="D583" s="7">
        <f>IFERROR(T(VLOOKUP($A583,Players!$A:$E,2,FALSE)),"")</f>
        <v/>
      </c>
      <c r="E583" s="6" t="n"/>
      <c r="F583" s="7" t="n"/>
    </row>
    <row r="584">
      <c r="A584" s="8" t="n"/>
      <c r="B584" s="9" t="n"/>
      <c r="C584" s="10" t="n"/>
      <c r="D584" s="10">
        <f>IFERROR(T(VLOOKUP($A584,Players!$A:$E,2,FALSE)),"")</f>
        <v/>
      </c>
      <c r="E584" s="9" t="n"/>
      <c r="F584" s="10" t="n"/>
    </row>
    <row r="585">
      <c r="A585" s="5" t="n"/>
      <c r="B585" s="6" t="n"/>
      <c r="C585" s="7" t="n"/>
      <c r="D585" s="7">
        <f>IFERROR(T(VLOOKUP($A585,Players!$A:$E,2,FALSE)),"")</f>
        <v/>
      </c>
      <c r="E585" s="6" t="n"/>
      <c r="F585" s="7" t="n"/>
    </row>
    <row r="586">
      <c r="A586" s="8" t="n"/>
      <c r="B586" s="9" t="n"/>
      <c r="C586" s="10" t="n"/>
      <c r="D586" s="10">
        <f>IFERROR(T(VLOOKUP($A586,Players!$A:$E,2,FALSE)),"")</f>
        <v/>
      </c>
      <c r="E586" s="9" t="n"/>
      <c r="F586" s="10" t="n"/>
    </row>
    <row r="587">
      <c r="A587" s="5" t="n"/>
      <c r="B587" s="6" t="n"/>
      <c r="C587" s="7" t="n"/>
      <c r="D587" s="7">
        <f>IFERROR(T(VLOOKUP($A587,Players!$A:$E,2,FALSE)),"")</f>
        <v/>
      </c>
      <c r="E587" s="6" t="n"/>
      <c r="F587" s="7" t="n"/>
    </row>
    <row r="588">
      <c r="A588" s="8" t="n"/>
      <c r="B588" s="9" t="n"/>
      <c r="C588" s="10" t="n"/>
      <c r="D588" s="10">
        <f>IFERROR(T(VLOOKUP($A588,Players!$A:$E,2,FALSE)),"")</f>
        <v/>
      </c>
      <c r="E588" s="9" t="n"/>
      <c r="F588" s="10" t="n"/>
    </row>
    <row r="589">
      <c r="A589" s="5" t="n"/>
      <c r="B589" s="6" t="n"/>
      <c r="C589" s="7" t="n"/>
      <c r="D589" s="7">
        <f>IFERROR(T(VLOOKUP($A589,Players!$A:$E,2,FALSE)),"")</f>
        <v/>
      </c>
      <c r="E589" s="6" t="n"/>
      <c r="F589" s="7" t="n"/>
    </row>
    <row r="590">
      <c r="A590" s="8" t="n"/>
      <c r="B590" s="9" t="n"/>
      <c r="C590" s="10" t="n"/>
      <c r="D590" s="10">
        <f>IFERROR(T(VLOOKUP($A590,Players!$A:$E,2,FALSE)),"")</f>
        <v/>
      </c>
      <c r="E590" s="9" t="n"/>
      <c r="F590" s="10" t="n"/>
    </row>
    <row r="591">
      <c r="A591" s="5" t="n"/>
      <c r="B591" s="6" t="n"/>
      <c r="C591" s="7" t="n"/>
      <c r="D591" s="7">
        <f>IFERROR(T(VLOOKUP($A591,Players!$A:$E,2,FALSE)),"")</f>
        <v/>
      </c>
      <c r="E591" s="6" t="n"/>
      <c r="F591" s="7" t="n"/>
    </row>
    <row r="592">
      <c r="A592" s="8" t="n"/>
      <c r="B592" s="9" t="n"/>
      <c r="C592" s="10" t="n"/>
      <c r="D592" s="10">
        <f>IFERROR(T(VLOOKUP($A592,Players!$A:$E,2,FALSE)),"")</f>
        <v/>
      </c>
      <c r="E592" s="9" t="n"/>
      <c r="F592" s="10" t="n"/>
    </row>
    <row r="593">
      <c r="A593" s="5" t="n"/>
      <c r="B593" s="6" t="n"/>
      <c r="C593" s="7" t="n"/>
      <c r="D593" s="7">
        <f>IFERROR(T(VLOOKUP($A593,Players!$A:$E,2,FALSE)),"")</f>
        <v/>
      </c>
      <c r="E593" s="6" t="n"/>
      <c r="F593" s="7" t="n"/>
    </row>
    <row r="594">
      <c r="A594" s="8" t="n"/>
      <c r="B594" s="9" t="n"/>
      <c r="C594" s="10" t="n"/>
      <c r="D594" s="10">
        <f>IFERROR(T(VLOOKUP($A594,Players!$A:$E,2,FALSE)),"")</f>
        <v/>
      </c>
      <c r="E594" s="9" t="n"/>
      <c r="F594" s="10" t="n"/>
    </row>
    <row r="595">
      <c r="A595" s="5" t="n"/>
      <c r="B595" s="6" t="n"/>
      <c r="C595" s="7" t="n"/>
      <c r="D595" s="7">
        <f>IFERROR(T(VLOOKUP($A595,Players!$A:$E,2,FALSE)),"")</f>
        <v/>
      </c>
      <c r="E595" s="6" t="n"/>
      <c r="F595" s="7" t="n"/>
    </row>
    <row r="596">
      <c r="A596" s="8" t="n"/>
      <c r="B596" s="9" t="n"/>
      <c r="C596" s="10" t="n"/>
      <c r="D596" s="10">
        <f>IFERROR(T(VLOOKUP($A596,Players!$A:$E,2,FALSE)),"")</f>
        <v/>
      </c>
      <c r="E596" s="9" t="n"/>
      <c r="F596" s="10" t="n"/>
    </row>
    <row r="597">
      <c r="A597" s="5" t="n"/>
      <c r="B597" s="6" t="n"/>
      <c r="C597" s="7" t="n"/>
      <c r="D597" s="7">
        <f>IFERROR(T(VLOOKUP($A597,Players!$A:$E,2,FALSE)),"")</f>
        <v/>
      </c>
      <c r="E597" s="6" t="n"/>
      <c r="F597" s="7" t="n"/>
    </row>
    <row r="598">
      <c r="A598" s="8" t="n"/>
      <c r="B598" s="9" t="n"/>
      <c r="C598" s="10" t="n"/>
      <c r="D598" s="10">
        <f>IFERROR(T(VLOOKUP($A598,Players!$A:$E,2,FALSE)),"")</f>
        <v/>
      </c>
      <c r="E598" s="9" t="n"/>
      <c r="F598" s="10" t="n"/>
    </row>
    <row r="599">
      <c r="A599" s="5" t="n"/>
      <c r="B599" s="6" t="n"/>
      <c r="C599" s="7" t="n"/>
      <c r="D599" s="7">
        <f>IFERROR(T(VLOOKUP($A599,Players!$A:$E,2,FALSE)),"")</f>
        <v/>
      </c>
      <c r="E599" s="6" t="n"/>
      <c r="F599" s="7" t="n"/>
    </row>
    <row r="600">
      <c r="A600" s="8" t="n"/>
      <c r="B600" s="9" t="n"/>
      <c r="C600" s="10" t="n"/>
      <c r="D600" s="10">
        <f>IFERROR(T(VLOOKUP($A600,Players!$A:$E,2,FALSE)),"")</f>
        <v/>
      </c>
      <c r="E600" s="9" t="n"/>
      <c r="F600" s="10" t="n"/>
    </row>
    <row r="601">
      <c r="A601" s="5" t="n"/>
      <c r="B601" s="6" t="n"/>
      <c r="C601" s="7" t="n"/>
      <c r="D601" s="7">
        <f>IFERROR(T(VLOOKUP($A601,Players!$A:$E,2,FALSE)),"")</f>
        <v/>
      </c>
      <c r="E601" s="6" t="n"/>
      <c r="F601" s="7" t="n"/>
    </row>
    <row r="602">
      <c r="A602" s="8" t="n"/>
      <c r="B602" s="9" t="n"/>
      <c r="C602" s="10" t="n"/>
      <c r="D602" s="10">
        <f>IFERROR(T(VLOOKUP($A602,Players!$A:$E,2,FALSE)),"")</f>
        <v/>
      </c>
      <c r="E602" s="9" t="n"/>
      <c r="F602" s="10" t="n"/>
    </row>
    <row r="603">
      <c r="A603" s="5" t="n"/>
      <c r="B603" s="6" t="n"/>
      <c r="C603" s="7" t="n"/>
      <c r="D603" s="7">
        <f>IFERROR(T(VLOOKUP($A603,Players!$A:$E,2,FALSE)),"")</f>
        <v/>
      </c>
      <c r="E603" s="6" t="n"/>
      <c r="F603" s="7" t="n"/>
    </row>
    <row r="604">
      <c r="A604" s="8" t="n"/>
      <c r="B604" s="9" t="n"/>
      <c r="C604" s="10" t="n"/>
      <c r="D604" s="10">
        <f>IFERROR(T(VLOOKUP($A604,Players!$A:$E,2,FALSE)),"")</f>
        <v/>
      </c>
      <c r="E604" s="9" t="n"/>
      <c r="F604" s="10" t="n"/>
    </row>
    <row r="605">
      <c r="A605" s="5" t="n"/>
      <c r="B605" s="6" t="n"/>
      <c r="C605" s="7" t="n"/>
      <c r="D605" s="7">
        <f>IFERROR(T(VLOOKUP($A605,Players!$A:$E,2,FALSE)),"")</f>
        <v/>
      </c>
      <c r="E605" s="6" t="n"/>
      <c r="F605" s="7" t="n"/>
    </row>
    <row r="606">
      <c r="A606" s="8" t="n"/>
      <c r="B606" s="9" t="n"/>
      <c r="C606" s="10" t="n"/>
      <c r="D606" s="10">
        <f>IFERROR(T(VLOOKUP($A606,Players!$A:$E,2,FALSE)),"")</f>
        <v/>
      </c>
      <c r="E606" s="9" t="n"/>
      <c r="F606" s="10" t="n"/>
    </row>
    <row r="607">
      <c r="A607" s="5" t="n"/>
      <c r="B607" s="6" t="n"/>
      <c r="C607" s="7" t="n"/>
      <c r="D607" s="7">
        <f>IFERROR(T(VLOOKUP($A607,Players!$A:$E,2,FALSE)),"")</f>
        <v/>
      </c>
      <c r="E607" s="6" t="n"/>
      <c r="F607" s="7" t="n"/>
    </row>
    <row r="608">
      <c r="A608" s="8" t="n"/>
      <c r="B608" s="9" t="n"/>
      <c r="C608" s="10" t="n"/>
      <c r="D608" s="10">
        <f>IFERROR(T(VLOOKUP($A608,Players!$A:$E,2,FALSE)),"")</f>
        <v/>
      </c>
      <c r="E608" s="9" t="n"/>
      <c r="F608" s="10" t="n"/>
    </row>
    <row r="609">
      <c r="A609" s="5" t="n"/>
      <c r="B609" s="6" t="n"/>
      <c r="C609" s="7" t="n"/>
      <c r="D609" s="7">
        <f>IFERROR(T(VLOOKUP($A609,Players!$A:$E,2,FALSE)),"")</f>
        <v/>
      </c>
      <c r="E609" s="6" t="n"/>
      <c r="F609" s="7" t="n"/>
    </row>
    <row r="610">
      <c r="A610" s="8" t="n"/>
      <c r="B610" s="9" t="n"/>
      <c r="C610" s="10" t="n"/>
      <c r="D610" s="10">
        <f>IFERROR(T(VLOOKUP($A610,Players!$A:$E,2,FALSE)),"")</f>
        <v/>
      </c>
      <c r="E610" s="9" t="n"/>
      <c r="F610" s="10" t="n"/>
    </row>
    <row r="611">
      <c r="A611" s="5" t="n"/>
      <c r="B611" s="6" t="n"/>
      <c r="C611" s="7" t="n"/>
      <c r="D611" s="7">
        <f>IFERROR(T(VLOOKUP($A611,Players!$A:$E,2,FALSE)),"")</f>
        <v/>
      </c>
      <c r="E611" s="6" t="n"/>
      <c r="F611" s="7" t="n"/>
    </row>
    <row r="612">
      <c r="A612" s="8" t="n"/>
      <c r="B612" s="9" t="n"/>
      <c r="C612" s="10" t="n"/>
      <c r="D612" s="10">
        <f>IFERROR(T(VLOOKUP($A612,Players!$A:$E,2,FALSE)),"")</f>
        <v/>
      </c>
      <c r="E612" s="9" t="n"/>
      <c r="F612" s="10" t="n"/>
    </row>
    <row r="613">
      <c r="A613" s="5" t="n"/>
      <c r="B613" s="6" t="n"/>
      <c r="C613" s="7" t="n"/>
      <c r="D613" s="7">
        <f>IFERROR(T(VLOOKUP($A613,Players!$A:$E,2,FALSE)),"")</f>
        <v/>
      </c>
      <c r="E613" s="6" t="n"/>
      <c r="F613" s="7" t="n"/>
    </row>
    <row r="614">
      <c r="A614" s="8" t="n"/>
      <c r="B614" s="9" t="n"/>
      <c r="C614" s="10" t="n"/>
      <c r="D614" s="10">
        <f>IFERROR(T(VLOOKUP($A614,Players!$A:$E,2,FALSE)),"")</f>
        <v/>
      </c>
      <c r="E614" s="9" t="n"/>
      <c r="F614" s="10" t="n"/>
    </row>
    <row r="615">
      <c r="A615" s="5" t="n"/>
      <c r="B615" s="6" t="n"/>
      <c r="C615" s="7" t="n"/>
      <c r="D615" s="7">
        <f>IFERROR(T(VLOOKUP($A615,Players!$A:$E,2,FALSE)),"")</f>
        <v/>
      </c>
      <c r="E615" s="6" t="n"/>
      <c r="F615" s="7" t="n"/>
    </row>
    <row r="616">
      <c r="A616" s="8" t="n"/>
      <c r="B616" s="9" t="n"/>
      <c r="C616" s="10" t="n"/>
      <c r="D616" s="10">
        <f>IFERROR(T(VLOOKUP($A616,Players!$A:$E,2,FALSE)),"")</f>
        <v/>
      </c>
      <c r="E616" s="9" t="n"/>
      <c r="F616" s="10" t="n"/>
    </row>
    <row r="617">
      <c r="A617" s="5" t="n"/>
      <c r="B617" s="6" t="n"/>
      <c r="C617" s="7" t="n"/>
      <c r="D617" s="7">
        <f>IFERROR(T(VLOOKUP($A617,Players!$A:$E,2,FALSE)),"")</f>
        <v/>
      </c>
      <c r="E617" s="6" t="n"/>
      <c r="F617" s="7" t="n"/>
    </row>
    <row r="618">
      <c r="A618" s="8" t="n"/>
      <c r="B618" s="9" t="n"/>
      <c r="C618" s="10" t="n"/>
      <c r="D618" s="10">
        <f>IFERROR(T(VLOOKUP($A618,Players!$A:$E,2,FALSE)),"")</f>
        <v/>
      </c>
      <c r="E618" s="9" t="n"/>
      <c r="F618" s="10" t="n"/>
    </row>
    <row r="619">
      <c r="A619" s="5" t="n"/>
      <c r="B619" s="6" t="n"/>
      <c r="C619" s="7" t="n"/>
      <c r="D619" s="7">
        <f>IFERROR(T(VLOOKUP($A619,Players!$A:$E,2,FALSE)),"")</f>
        <v/>
      </c>
      <c r="E619" s="6" t="n"/>
      <c r="F619" s="7" t="n"/>
    </row>
    <row r="620">
      <c r="A620" s="8" t="n"/>
      <c r="B620" s="9" t="n"/>
      <c r="C620" s="10" t="n"/>
      <c r="D620" s="10">
        <f>IFERROR(T(VLOOKUP($A620,Players!$A:$E,2,FALSE)),"")</f>
        <v/>
      </c>
      <c r="E620" s="9" t="n"/>
      <c r="F620" s="10" t="n"/>
    </row>
    <row r="621">
      <c r="A621" s="5" t="n"/>
      <c r="B621" s="6" t="n"/>
      <c r="C621" s="7" t="n"/>
      <c r="D621" s="7">
        <f>IFERROR(T(VLOOKUP($A621,Players!$A:$E,2,FALSE)),"")</f>
        <v/>
      </c>
      <c r="E621" s="6" t="n"/>
      <c r="F621" s="7" t="n"/>
    </row>
    <row r="622">
      <c r="A622" s="8" t="n"/>
      <c r="B622" s="9" t="n"/>
      <c r="C622" s="10" t="n"/>
      <c r="D622" s="10">
        <f>IFERROR(T(VLOOKUP($A622,Players!$A:$E,2,FALSE)),"")</f>
        <v/>
      </c>
      <c r="E622" s="9" t="n"/>
      <c r="F622" s="10" t="n"/>
    </row>
    <row r="623">
      <c r="A623" s="5" t="n"/>
      <c r="B623" s="6" t="n"/>
      <c r="C623" s="7" t="n"/>
      <c r="D623" s="7">
        <f>IFERROR(T(VLOOKUP($A623,Players!$A:$E,2,FALSE)),"")</f>
        <v/>
      </c>
      <c r="E623" s="6" t="n"/>
      <c r="F623" s="7" t="n"/>
    </row>
    <row r="624">
      <c r="A624" s="8" t="n"/>
      <c r="B624" s="9" t="n"/>
      <c r="C624" s="10" t="n"/>
      <c r="D624" s="10">
        <f>IFERROR(T(VLOOKUP($A624,Players!$A:$E,2,FALSE)),"")</f>
        <v/>
      </c>
      <c r="E624" s="9" t="n"/>
      <c r="F624" s="10" t="n"/>
    </row>
    <row r="625">
      <c r="A625" s="5" t="n"/>
      <c r="B625" s="6" t="n"/>
      <c r="C625" s="7" t="n"/>
      <c r="D625" s="7">
        <f>IFERROR(T(VLOOKUP($A625,Players!$A:$E,2,FALSE)),"")</f>
        <v/>
      </c>
      <c r="E625" s="6" t="n"/>
      <c r="F625" s="7" t="n"/>
    </row>
    <row r="626">
      <c r="A626" s="8" t="n"/>
      <c r="B626" s="9" t="n"/>
      <c r="C626" s="10" t="n"/>
      <c r="D626" s="10">
        <f>IFERROR(T(VLOOKUP($A626,Players!$A:$E,2,FALSE)),"")</f>
        <v/>
      </c>
      <c r="E626" s="9" t="n"/>
      <c r="F626" s="10" t="n"/>
    </row>
    <row r="627">
      <c r="A627" s="5" t="n"/>
      <c r="B627" s="6" t="n"/>
      <c r="C627" s="7" t="n"/>
      <c r="D627" s="7">
        <f>IFERROR(T(VLOOKUP($A627,Players!$A:$E,2,FALSE)),"")</f>
        <v/>
      </c>
      <c r="E627" s="6" t="n"/>
      <c r="F627" s="7" t="n"/>
    </row>
    <row r="628">
      <c r="A628" s="8" t="n"/>
      <c r="B628" s="9" t="n"/>
      <c r="C628" s="10" t="n"/>
      <c r="D628" s="10">
        <f>IFERROR(T(VLOOKUP($A628,Players!$A:$E,2,FALSE)),"")</f>
        <v/>
      </c>
      <c r="E628" s="9" t="n"/>
      <c r="F628" s="10" t="n"/>
    </row>
    <row r="629">
      <c r="A629" s="5" t="n"/>
      <c r="B629" s="6" t="n"/>
      <c r="C629" s="7" t="n"/>
      <c r="D629" s="7">
        <f>IFERROR(T(VLOOKUP($A629,Players!$A:$E,2,FALSE)),"")</f>
        <v/>
      </c>
      <c r="E629" s="6" t="n"/>
      <c r="F629" s="7" t="n"/>
    </row>
    <row r="630">
      <c r="A630" s="8" t="n"/>
      <c r="B630" s="9" t="n"/>
      <c r="C630" s="10" t="n"/>
      <c r="D630" s="10">
        <f>IFERROR(T(VLOOKUP($A630,Players!$A:$E,2,FALSE)),"")</f>
        <v/>
      </c>
      <c r="E630" s="9" t="n"/>
      <c r="F630" s="10" t="n"/>
    </row>
    <row r="631">
      <c r="A631" s="5" t="n"/>
      <c r="B631" s="6" t="n"/>
      <c r="C631" s="7" t="n"/>
      <c r="D631" s="7">
        <f>IFERROR(T(VLOOKUP($A631,Players!$A:$E,2,FALSE)),"")</f>
        <v/>
      </c>
      <c r="E631" s="6" t="n"/>
      <c r="F631" s="7" t="n"/>
    </row>
    <row r="632">
      <c r="A632" s="8" t="n"/>
      <c r="B632" s="9" t="n"/>
      <c r="C632" s="10" t="n"/>
      <c r="D632" s="10">
        <f>IFERROR(T(VLOOKUP($A632,Players!$A:$E,2,FALSE)),"")</f>
        <v/>
      </c>
      <c r="E632" s="9" t="n"/>
      <c r="F632" s="10" t="n"/>
    </row>
    <row r="633">
      <c r="A633" s="5" t="n"/>
      <c r="B633" s="6" t="n"/>
      <c r="C633" s="7" t="n"/>
      <c r="D633" s="7">
        <f>IFERROR(T(VLOOKUP($A633,Players!$A:$E,2,FALSE)),"")</f>
        <v/>
      </c>
      <c r="E633" s="6" t="n"/>
      <c r="F633" s="7" t="n"/>
    </row>
    <row r="634">
      <c r="A634" s="8" t="n"/>
      <c r="B634" s="9" t="n"/>
      <c r="C634" s="10" t="n"/>
      <c r="D634" s="10">
        <f>IFERROR(T(VLOOKUP($A634,Players!$A:$E,2,FALSE)),"")</f>
        <v/>
      </c>
      <c r="E634" s="9" t="n"/>
      <c r="F634" s="10" t="n"/>
    </row>
    <row r="635">
      <c r="A635" s="5" t="n"/>
      <c r="B635" s="6" t="n"/>
      <c r="C635" s="7" t="n"/>
      <c r="D635" s="7">
        <f>IFERROR(T(VLOOKUP($A635,Players!$A:$E,2,FALSE)),"")</f>
        <v/>
      </c>
      <c r="E635" s="6" t="n"/>
      <c r="F635" s="7" t="n"/>
    </row>
    <row r="636">
      <c r="A636" s="8" t="n"/>
      <c r="B636" s="9" t="n"/>
      <c r="C636" s="10" t="n"/>
      <c r="D636" s="10">
        <f>IFERROR(T(VLOOKUP($A636,Players!$A:$E,2,FALSE)),"")</f>
        <v/>
      </c>
      <c r="E636" s="9" t="n"/>
      <c r="F636" s="10" t="n"/>
    </row>
    <row r="637">
      <c r="A637" s="5" t="n"/>
      <c r="B637" s="6" t="n"/>
      <c r="C637" s="7" t="n"/>
      <c r="D637" s="7">
        <f>IFERROR(T(VLOOKUP($A637,Players!$A:$E,2,FALSE)),"")</f>
        <v/>
      </c>
      <c r="E637" s="6" t="n"/>
      <c r="F637" s="7" t="n"/>
    </row>
    <row r="638">
      <c r="A638" s="8" t="n"/>
      <c r="B638" s="9" t="n"/>
      <c r="C638" s="10" t="n"/>
      <c r="D638" s="10">
        <f>IFERROR(T(VLOOKUP($A638,Players!$A:$E,2,FALSE)),"")</f>
        <v/>
      </c>
      <c r="E638" s="9" t="n"/>
      <c r="F638" s="10" t="n"/>
    </row>
    <row r="639">
      <c r="A639" s="5" t="n"/>
      <c r="B639" s="6" t="n"/>
      <c r="C639" s="7" t="n"/>
      <c r="D639" s="7">
        <f>IFERROR(T(VLOOKUP($A639,Players!$A:$E,2,FALSE)),"")</f>
        <v/>
      </c>
      <c r="E639" s="6" t="n"/>
      <c r="F639" s="7" t="n"/>
    </row>
    <row r="640">
      <c r="A640" s="8" t="n"/>
      <c r="B640" s="9" t="n"/>
      <c r="C640" s="10" t="n"/>
      <c r="D640" s="10">
        <f>IFERROR(T(VLOOKUP($A640,Players!$A:$E,2,FALSE)),"")</f>
        <v/>
      </c>
      <c r="E640" s="9" t="n"/>
      <c r="F640" s="10" t="n"/>
    </row>
    <row r="641">
      <c r="A641" s="5" t="n"/>
      <c r="B641" s="6" t="n"/>
      <c r="C641" s="7" t="n"/>
      <c r="D641" s="7">
        <f>IFERROR(T(VLOOKUP($A641,Players!$A:$E,2,FALSE)),"")</f>
        <v/>
      </c>
      <c r="E641" s="6" t="n"/>
      <c r="F641" s="7" t="n"/>
    </row>
    <row r="642">
      <c r="A642" s="8" t="n"/>
      <c r="B642" s="9" t="n"/>
      <c r="C642" s="10" t="n"/>
      <c r="D642" s="10">
        <f>IFERROR(T(VLOOKUP($A642,Players!$A:$E,2,FALSE)),"")</f>
        <v/>
      </c>
      <c r="E642" s="9" t="n"/>
      <c r="F642" s="10" t="n"/>
    </row>
    <row r="643">
      <c r="A643" s="5" t="n"/>
      <c r="B643" s="6" t="n"/>
      <c r="C643" s="7" t="n"/>
      <c r="D643" s="7">
        <f>IFERROR(T(VLOOKUP($A643,Players!$A:$E,2,FALSE)),"")</f>
        <v/>
      </c>
      <c r="E643" s="6" t="n"/>
      <c r="F643" s="7" t="n"/>
    </row>
    <row r="644">
      <c r="A644" s="8" t="n"/>
      <c r="B644" s="9" t="n"/>
      <c r="C644" s="10" t="n"/>
      <c r="D644" s="10">
        <f>IFERROR(T(VLOOKUP($A644,Players!$A:$E,2,FALSE)),"")</f>
        <v/>
      </c>
      <c r="E644" s="9" t="n"/>
      <c r="F644" s="10" t="n"/>
    </row>
    <row r="645">
      <c r="A645" s="5" t="n"/>
      <c r="B645" s="6" t="n"/>
      <c r="C645" s="7" t="n"/>
      <c r="D645" s="7">
        <f>IFERROR(T(VLOOKUP($A645,Players!$A:$E,2,FALSE)),"")</f>
        <v/>
      </c>
      <c r="E645" s="6" t="n"/>
      <c r="F645" s="7" t="n"/>
    </row>
    <row r="646">
      <c r="A646" s="8" t="n"/>
      <c r="B646" s="9" t="n"/>
      <c r="C646" s="10" t="n"/>
      <c r="D646" s="10">
        <f>IFERROR(T(VLOOKUP($A646,Players!$A:$E,2,FALSE)),"")</f>
        <v/>
      </c>
      <c r="E646" s="9" t="n"/>
      <c r="F646" s="10" t="n"/>
    </row>
    <row r="647">
      <c r="A647" s="5" t="n"/>
      <c r="B647" s="6" t="n"/>
      <c r="C647" s="7" t="n"/>
      <c r="D647" s="7">
        <f>IFERROR(T(VLOOKUP($A647,Players!$A:$E,2,FALSE)),"")</f>
        <v/>
      </c>
      <c r="E647" s="6" t="n"/>
      <c r="F647" s="7" t="n"/>
    </row>
    <row r="648">
      <c r="A648" s="8" t="n"/>
      <c r="B648" s="9" t="n"/>
      <c r="C648" s="10" t="n"/>
      <c r="D648" s="10">
        <f>IFERROR(T(VLOOKUP($A648,Players!$A:$E,2,FALSE)),"")</f>
        <v/>
      </c>
      <c r="E648" s="9" t="n"/>
      <c r="F648" s="10" t="n"/>
    </row>
    <row r="649">
      <c r="A649" s="5" t="n"/>
      <c r="B649" s="6" t="n"/>
      <c r="C649" s="7" t="n"/>
      <c r="D649" s="7">
        <f>IFERROR(T(VLOOKUP($A649,Players!$A:$E,2,FALSE)),"")</f>
        <v/>
      </c>
      <c r="E649" s="6" t="n"/>
      <c r="F649" s="7" t="n"/>
    </row>
    <row r="650">
      <c r="A650" s="8" t="n"/>
      <c r="B650" s="9" t="n"/>
      <c r="C650" s="10" t="n"/>
      <c r="D650" s="10">
        <f>IFERROR(T(VLOOKUP($A650,Players!$A:$E,2,FALSE)),"")</f>
        <v/>
      </c>
      <c r="E650" s="9" t="n"/>
      <c r="F650" s="10" t="n"/>
    </row>
    <row r="651">
      <c r="A651" s="5" t="n"/>
      <c r="B651" s="6" t="n"/>
      <c r="C651" s="7" t="n"/>
      <c r="D651" s="7">
        <f>IFERROR(T(VLOOKUP($A651,Players!$A:$E,2,FALSE)),"")</f>
        <v/>
      </c>
      <c r="E651" s="6" t="n"/>
      <c r="F651" s="7" t="n"/>
    </row>
    <row r="652">
      <c r="A652" s="8" t="n"/>
      <c r="B652" s="9" t="n"/>
      <c r="C652" s="10" t="n"/>
      <c r="D652" s="10">
        <f>IFERROR(T(VLOOKUP($A652,Players!$A:$E,2,FALSE)),"")</f>
        <v/>
      </c>
      <c r="E652" s="9" t="n"/>
      <c r="F652" s="10" t="n"/>
    </row>
    <row r="653">
      <c r="A653" s="5" t="n"/>
      <c r="B653" s="6" t="n"/>
      <c r="C653" s="7" t="n"/>
      <c r="D653" s="7">
        <f>IFERROR(T(VLOOKUP($A653,Players!$A:$E,2,FALSE)),"")</f>
        <v/>
      </c>
      <c r="E653" s="6" t="n"/>
      <c r="F653" s="7" t="n"/>
    </row>
    <row r="654">
      <c r="A654" s="8" t="n"/>
      <c r="B654" s="9" t="n"/>
      <c r="C654" s="10" t="n"/>
      <c r="D654" s="10">
        <f>IFERROR(T(VLOOKUP($A654,Players!$A:$E,2,FALSE)),"")</f>
        <v/>
      </c>
      <c r="E654" s="9" t="n"/>
      <c r="F654" s="10" t="n"/>
    </row>
    <row r="655">
      <c r="A655" s="5" t="n"/>
      <c r="B655" s="6" t="n"/>
      <c r="C655" s="7" t="n"/>
      <c r="D655" s="7">
        <f>IFERROR(T(VLOOKUP($A655,Players!$A:$E,2,FALSE)),"")</f>
        <v/>
      </c>
      <c r="E655" s="6" t="n"/>
      <c r="F655" s="7" t="n"/>
    </row>
    <row r="656">
      <c r="A656" s="8" t="n"/>
      <c r="B656" s="9" t="n"/>
      <c r="C656" s="10" t="n"/>
      <c r="D656" s="10">
        <f>IFERROR(T(VLOOKUP($A656,Players!$A:$E,2,FALSE)),"")</f>
        <v/>
      </c>
      <c r="E656" s="9" t="n"/>
      <c r="F656" s="10" t="n"/>
    </row>
    <row r="657">
      <c r="A657" s="5" t="n"/>
      <c r="B657" s="6" t="n"/>
      <c r="C657" s="7" t="n"/>
      <c r="D657" s="7">
        <f>IFERROR(T(VLOOKUP($A657,Players!$A:$E,2,FALSE)),"")</f>
        <v/>
      </c>
      <c r="E657" s="6" t="n"/>
      <c r="F657" s="7" t="n"/>
    </row>
    <row r="658">
      <c r="A658" s="8" t="n"/>
      <c r="B658" s="9" t="n"/>
      <c r="C658" s="10" t="n"/>
      <c r="D658" s="10">
        <f>IFERROR(T(VLOOKUP($A658,Players!$A:$E,2,FALSE)),"")</f>
        <v/>
      </c>
      <c r="E658" s="9" t="n"/>
      <c r="F658" s="10" t="n"/>
    </row>
    <row r="659">
      <c r="A659" s="5" t="n"/>
      <c r="B659" s="6" t="n"/>
      <c r="C659" s="7" t="n"/>
      <c r="D659" s="7">
        <f>IFERROR(T(VLOOKUP($A659,Players!$A:$E,2,FALSE)),"")</f>
        <v/>
      </c>
      <c r="E659" s="6" t="n"/>
      <c r="F659" s="7" t="n"/>
    </row>
    <row r="660">
      <c r="A660" s="8" t="n"/>
      <c r="B660" s="9" t="n"/>
      <c r="C660" s="10" t="n"/>
      <c r="D660" s="10">
        <f>IFERROR(T(VLOOKUP($A660,Players!$A:$E,2,FALSE)),"")</f>
        <v/>
      </c>
      <c r="E660" s="9" t="n"/>
      <c r="F660" s="10" t="n"/>
    </row>
    <row r="661">
      <c r="A661" s="5" t="n"/>
      <c r="B661" s="6" t="n"/>
      <c r="C661" s="7" t="n"/>
      <c r="D661" s="7">
        <f>IFERROR(T(VLOOKUP($A661,Players!$A:$E,2,FALSE)),"")</f>
        <v/>
      </c>
      <c r="E661" s="6" t="n"/>
      <c r="F661" s="7" t="n"/>
    </row>
    <row r="662">
      <c r="A662" s="8" t="n"/>
      <c r="B662" s="9" t="n"/>
      <c r="C662" s="10" t="n"/>
      <c r="D662" s="10">
        <f>IFERROR(T(VLOOKUP($A662,Players!$A:$E,2,FALSE)),"")</f>
        <v/>
      </c>
      <c r="E662" s="9" t="n"/>
      <c r="F662" s="10" t="n"/>
    </row>
    <row r="663">
      <c r="A663" s="5" t="n"/>
      <c r="B663" s="6" t="n"/>
      <c r="C663" s="7" t="n"/>
      <c r="D663" s="7">
        <f>IFERROR(T(VLOOKUP($A663,Players!$A:$E,2,FALSE)),"")</f>
        <v/>
      </c>
      <c r="E663" s="6" t="n"/>
      <c r="F663" s="7" t="n"/>
    </row>
    <row r="664">
      <c r="A664" s="8" t="n"/>
      <c r="B664" s="9" t="n"/>
      <c r="C664" s="10" t="n"/>
      <c r="D664" s="10">
        <f>IFERROR(T(VLOOKUP($A664,Players!$A:$E,2,FALSE)),"")</f>
        <v/>
      </c>
      <c r="E664" s="9" t="n"/>
      <c r="F664" s="10" t="n"/>
    </row>
    <row r="665">
      <c r="A665" s="5" t="n"/>
      <c r="B665" s="6" t="n"/>
      <c r="C665" s="7" t="n"/>
      <c r="D665" s="7">
        <f>IFERROR(T(VLOOKUP($A665,Players!$A:$E,2,FALSE)),"")</f>
        <v/>
      </c>
      <c r="E665" s="6" t="n"/>
      <c r="F665" s="7" t="n"/>
    </row>
    <row r="666">
      <c r="A666" s="8" t="n"/>
      <c r="B666" s="9" t="n"/>
      <c r="C666" s="10" t="n"/>
      <c r="D666" s="10">
        <f>IFERROR(T(VLOOKUP($A666,Players!$A:$E,2,FALSE)),"")</f>
        <v/>
      </c>
      <c r="E666" s="9" t="n"/>
      <c r="F666" s="10" t="n"/>
    </row>
    <row r="667">
      <c r="A667" s="5" t="n"/>
      <c r="B667" s="6" t="n"/>
      <c r="C667" s="7" t="n"/>
      <c r="D667" s="7">
        <f>IFERROR(T(VLOOKUP($A667,Players!$A:$E,2,FALSE)),"")</f>
        <v/>
      </c>
      <c r="E667" s="6" t="n"/>
      <c r="F667" s="7" t="n"/>
    </row>
    <row r="668">
      <c r="A668" s="8" t="n"/>
      <c r="B668" s="9" t="n"/>
      <c r="C668" s="10" t="n"/>
      <c r="D668" s="10">
        <f>IFERROR(T(VLOOKUP($A668,Players!$A:$E,2,FALSE)),"")</f>
        <v/>
      </c>
      <c r="E668" s="9" t="n"/>
      <c r="F668" s="10" t="n"/>
    </row>
    <row r="669">
      <c r="A669" s="5" t="n"/>
      <c r="B669" s="6" t="n"/>
      <c r="C669" s="7" t="n"/>
      <c r="D669" s="7">
        <f>IFERROR(T(VLOOKUP($A669,Players!$A:$E,2,FALSE)),"")</f>
        <v/>
      </c>
      <c r="E669" s="6" t="n"/>
      <c r="F669" s="7" t="n"/>
    </row>
    <row r="670">
      <c r="A670" s="8" t="n"/>
      <c r="B670" s="9" t="n"/>
      <c r="C670" s="10" t="n"/>
      <c r="D670" s="10">
        <f>IFERROR(T(VLOOKUP($A670,Players!$A:$E,2,FALSE)),"")</f>
        <v/>
      </c>
      <c r="E670" s="9" t="n"/>
      <c r="F670" s="10" t="n"/>
    </row>
    <row r="671">
      <c r="A671" s="5" t="n"/>
      <c r="B671" s="6" t="n"/>
      <c r="C671" s="7" t="n"/>
      <c r="D671" s="7">
        <f>IFERROR(T(VLOOKUP($A671,Players!$A:$E,2,FALSE)),"")</f>
        <v/>
      </c>
      <c r="E671" s="6" t="n"/>
      <c r="F671" s="7" t="n"/>
    </row>
    <row r="672">
      <c r="A672" s="8" t="n"/>
      <c r="B672" s="9" t="n"/>
      <c r="C672" s="10" t="n"/>
      <c r="D672" s="10">
        <f>IFERROR(T(VLOOKUP($A672,Players!$A:$E,2,FALSE)),"")</f>
        <v/>
      </c>
      <c r="E672" s="9" t="n"/>
      <c r="F672" s="10" t="n"/>
    </row>
    <row r="673">
      <c r="A673" s="5" t="n"/>
      <c r="B673" s="6" t="n"/>
      <c r="C673" s="7" t="n"/>
      <c r="D673" s="7">
        <f>IFERROR(T(VLOOKUP($A673,Players!$A:$E,2,FALSE)),"")</f>
        <v/>
      </c>
      <c r="E673" s="6" t="n"/>
      <c r="F673" s="7" t="n"/>
    </row>
    <row r="674">
      <c r="A674" s="8" t="n"/>
      <c r="B674" s="9" t="n"/>
      <c r="C674" s="10" t="n"/>
      <c r="D674" s="10">
        <f>IFERROR(T(VLOOKUP($A674,Players!$A:$E,2,FALSE)),"")</f>
        <v/>
      </c>
      <c r="E674" s="9" t="n"/>
      <c r="F674" s="10" t="n"/>
    </row>
    <row r="675">
      <c r="A675" s="5" t="n"/>
      <c r="B675" s="6" t="n"/>
      <c r="C675" s="7" t="n"/>
      <c r="D675" s="7">
        <f>IFERROR(T(VLOOKUP($A675,Players!$A:$E,2,FALSE)),"")</f>
        <v/>
      </c>
      <c r="E675" s="6" t="n"/>
      <c r="F675" s="7" t="n"/>
    </row>
    <row r="676">
      <c r="A676" s="8" t="n"/>
      <c r="B676" s="9" t="n"/>
      <c r="C676" s="10" t="n"/>
      <c r="D676" s="10">
        <f>IFERROR(T(VLOOKUP($A676,Players!$A:$E,2,FALSE)),"")</f>
        <v/>
      </c>
      <c r="E676" s="9" t="n"/>
      <c r="F676" s="10" t="n"/>
    </row>
    <row r="677">
      <c r="A677" s="5" t="n"/>
      <c r="B677" s="6" t="n"/>
      <c r="C677" s="7" t="n"/>
      <c r="D677" s="7">
        <f>IFERROR(T(VLOOKUP($A677,Players!$A:$E,2,FALSE)),"")</f>
        <v/>
      </c>
      <c r="E677" s="6" t="n"/>
      <c r="F677" s="7" t="n"/>
    </row>
    <row r="678">
      <c r="A678" s="8" t="n"/>
      <c r="B678" s="9" t="n"/>
      <c r="C678" s="10" t="n"/>
      <c r="D678" s="10">
        <f>IFERROR(T(VLOOKUP($A678,Players!$A:$E,2,FALSE)),"")</f>
        <v/>
      </c>
      <c r="E678" s="9" t="n"/>
      <c r="F678" s="10" t="n"/>
    </row>
    <row r="679">
      <c r="A679" s="5" t="n"/>
      <c r="B679" s="6" t="n"/>
      <c r="C679" s="7" t="n"/>
      <c r="D679" s="7">
        <f>IFERROR(T(VLOOKUP($A679,Players!$A:$E,2,FALSE)),"")</f>
        <v/>
      </c>
      <c r="E679" s="6" t="n"/>
      <c r="F679" s="7" t="n"/>
    </row>
    <row r="680">
      <c r="A680" s="8" t="n"/>
      <c r="B680" s="9" t="n"/>
      <c r="C680" s="10" t="n"/>
      <c r="D680" s="10">
        <f>IFERROR(T(VLOOKUP($A680,Players!$A:$E,2,FALSE)),"")</f>
        <v/>
      </c>
      <c r="E680" s="9" t="n"/>
      <c r="F680" s="10" t="n"/>
    </row>
    <row r="681">
      <c r="A681" s="5" t="n"/>
      <c r="B681" s="6" t="n"/>
      <c r="C681" s="7" t="n"/>
      <c r="D681" s="7">
        <f>IFERROR(T(VLOOKUP($A681,Players!$A:$E,2,FALSE)),"")</f>
        <v/>
      </c>
      <c r="E681" s="6" t="n"/>
      <c r="F681" s="7" t="n"/>
    </row>
    <row r="682">
      <c r="A682" s="8" t="n"/>
      <c r="B682" s="9" t="n"/>
      <c r="C682" s="10" t="n"/>
      <c r="D682" s="10">
        <f>IFERROR(T(VLOOKUP($A682,Players!$A:$E,2,FALSE)),"")</f>
        <v/>
      </c>
      <c r="E682" s="9" t="n"/>
      <c r="F682" s="10" t="n"/>
    </row>
    <row r="683">
      <c r="A683" s="5" t="n"/>
      <c r="B683" s="6" t="n"/>
      <c r="C683" s="7" t="n"/>
      <c r="D683" s="7">
        <f>IFERROR(T(VLOOKUP($A683,Players!$A:$E,2,FALSE)),"")</f>
        <v/>
      </c>
      <c r="E683" s="6" t="n"/>
      <c r="F683" s="7" t="n"/>
    </row>
    <row r="684">
      <c r="A684" s="8" t="n"/>
      <c r="B684" s="9" t="n"/>
      <c r="C684" s="10" t="n"/>
      <c r="D684" s="10">
        <f>IFERROR(T(VLOOKUP($A684,Players!$A:$E,2,FALSE)),"")</f>
        <v/>
      </c>
      <c r="E684" s="9" t="n"/>
      <c r="F684" s="10" t="n"/>
    </row>
    <row r="685">
      <c r="A685" s="5" t="n"/>
      <c r="B685" s="6" t="n"/>
      <c r="C685" s="7" t="n"/>
      <c r="D685" s="7">
        <f>IFERROR(T(VLOOKUP($A685,Players!$A:$E,2,FALSE)),"")</f>
        <v/>
      </c>
      <c r="E685" s="6" t="n"/>
      <c r="F685" s="7" t="n"/>
    </row>
    <row r="686">
      <c r="A686" s="8" t="n"/>
      <c r="B686" s="9" t="n"/>
      <c r="C686" s="10" t="n"/>
      <c r="D686" s="10">
        <f>IFERROR(T(VLOOKUP($A686,Players!$A:$E,2,FALSE)),"")</f>
        <v/>
      </c>
      <c r="E686" s="9" t="n"/>
      <c r="F686" s="10" t="n"/>
    </row>
    <row r="687">
      <c r="A687" s="5" t="n"/>
      <c r="B687" s="6" t="n"/>
      <c r="C687" s="7" t="n"/>
      <c r="D687" s="7">
        <f>IFERROR(T(VLOOKUP($A687,Players!$A:$E,2,FALSE)),"")</f>
        <v/>
      </c>
      <c r="E687" s="6" t="n"/>
      <c r="F687" s="7" t="n"/>
    </row>
    <row r="688">
      <c r="A688" s="8" t="n"/>
      <c r="B688" s="9" t="n"/>
      <c r="C688" s="10" t="n"/>
      <c r="D688" s="10">
        <f>IFERROR(T(VLOOKUP($A688,Players!$A:$E,2,FALSE)),"")</f>
        <v/>
      </c>
      <c r="E688" s="9" t="n"/>
      <c r="F688" s="10" t="n"/>
    </row>
    <row r="689">
      <c r="A689" s="5" t="n"/>
      <c r="B689" s="6" t="n"/>
      <c r="C689" s="7" t="n"/>
      <c r="D689" s="7">
        <f>IFERROR(T(VLOOKUP($A689,Players!$A:$E,2,FALSE)),"")</f>
        <v/>
      </c>
      <c r="E689" s="6" t="n"/>
      <c r="F689" s="7" t="n"/>
    </row>
    <row r="690">
      <c r="A690" s="8" t="n"/>
      <c r="B690" s="9" t="n"/>
      <c r="C690" s="10" t="n"/>
      <c r="D690" s="10">
        <f>IFERROR(T(VLOOKUP($A690,Players!$A:$E,2,FALSE)),"")</f>
        <v/>
      </c>
      <c r="E690" s="9" t="n"/>
      <c r="F690" s="10" t="n"/>
    </row>
    <row r="691">
      <c r="A691" s="5" t="n"/>
      <c r="B691" s="6" t="n"/>
      <c r="C691" s="7" t="n"/>
      <c r="D691" s="7">
        <f>IFERROR(T(VLOOKUP($A691,Players!$A:$E,2,FALSE)),"")</f>
        <v/>
      </c>
      <c r="E691" s="6" t="n"/>
      <c r="F691" s="7" t="n"/>
    </row>
    <row r="692">
      <c r="A692" s="8" t="n"/>
      <c r="B692" s="9" t="n"/>
      <c r="C692" s="10" t="n"/>
      <c r="D692" s="10">
        <f>IFERROR(T(VLOOKUP($A692,Players!$A:$E,2,FALSE)),"")</f>
        <v/>
      </c>
      <c r="E692" s="9" t="n"/>
      <c r="F692" s="10" t="n"/>
    </row>
    <row r="693">
      <c r="A693" s="5" t="n"/>
      <c r="B693" s="6" t="n"/>
      <c r="C693" s="7" t="n"/>
      <c r="D693" s="7">
        <f>IFERROR(T(VLOOKUP($A693,Players!$A:$E,2,FALSE)),"")</f>
        <v/>
      </c>
      <c r="E693" s="6" t="n"/>
      <c r="F693" s="7" t="n"/>
    </row>
    <row r="694">
      <c r="A694" s="8" t="n"/>
      <c r="B694" s="9" t="n"/>
      <c r="C694" s="10" t="n"/>
      <c r="D694" s="10">
        <f>IFERROR(T(VLOOKUP($A694,Players!$A:$E,2,FALSE)),"")</f>
        <v/>
      </c>
      <c r="E694" s="9" t="n"/>
      <c r="F694" s="10" t="n"/>
    </row>
    <row r="695">
      <c r="A695" s="5" t="n"/>
      <c r="B695" s="6" t="n"/>
      <c r="C695" s="7" t="n"/>
      <c r="D695" s="7">
        <f>IFERROR(T(VLOOKUP($A695,Players!$A:$E,2,FALSE)),"")</f>
        <v/>
      </c>
      <c r="E695" s="6" t="n"/>
      <c r="F695" s="7" t="n"/>
    </row>
    <row r="696">
      <c r="A696" s="8" t="n"/>
      <c r="B696" s="9" t="n"/>
      <c r="C696" s="10" t="n"/>
      <c r="D696" s="10">
        <f>IFERROR(T(VLOOKUP($A696,Players!$A:$E,2,FALSE)),"")</f>
        <v/>
      </c>
      <c r="E696" s="9" t="n"/>
      <c r="F696" s="10" t="n"/>
    </row>
    <row r="697">
      <c r="A697" s="5" t="n"/>
      <c r="B697" s="6" t="n"/>
      <c r="C697" s="7" t="n"/>
      <c r="D697" s="7">
        <f>IFERROR(T(VLOOKUP($A697,Players!$A:$E,2,FALSE)),"")</f>
        <v/>
      </c>
      <c r="E697" s="6" t="n"/>
      <c r="F697" s="7" t="n"/>
    </row>
    <row r="698">
      <c r="A698" s="8" t="n"/>
      <c r="B698" s="9" t="n"/>
      <c r="C698" s="10" t="n"/>
      <c r="D698" s="10">
        <f>IFERROR(T(VLOOKUP($A698,Players!$A:$E,2,FALSE)),"")</f>
        <v/>
      </c>
      <c r="E698" s="9" t="n"/>
      <c r="F698" s="10" t="n"/>
    </row>
    <row r="699">
      <c r="A699" s="5" t="n"/>
      <c r="B699" s="6" t="n"/>
      <c r="C699" s="7" t="n"/>
      <c r="D699" s="7">
        <f>IFERROR(T(VLOOKUP($A699,Players!$A:$E,2,FALSE)),"")</f>
        <v/>
      </c>
      <c r="E699" s="6" t="n"/>
      <c r="F699" s="7" t="n"/>
    </row>
    <row r="700">
      <c r="A700" s="8" t="n"/>
      <c r="B700" s="9" t="n"/>
      <c r="C700" s="10" t="n"/>
      <c r="D700" s="10">
        <f>IFERROR(T(VLOOKUP($A700,Players!$A:$E,2,FALSE)),"")</f>
        <v/>
      </c>
      <c r="E700" s="9" t="n"/>
      <c r="F700" s="10" t="n"/>
    </row>
    <row r="701">
      <c r="A701" s="5" t="n"/>
      <c r="B701" s="6" t="n"/>
      <c r="C701" s="7" t="n"/>
      <c r="D701" s="7">
        <f>IFERROR(T(VLOOKUP($A701,Players!$A:$E,2,FALSE)),"")</f>
        <v/>
      </c>
      <c r="E701" s="6" t="n"/>
      <c r="F701" s="7" t="n"/>
    </row>
    <row r="702">
      <c r="A702" s="8" t="n"/>
      <c r="B702" s="9" t="n"/>
      <c r="C702" s="10" t="n"/>
      <c r="D702" s="10">
        <f>IFERROR(T(VLOOKUP($A702,Players!$A:$E,2,FALSE)),"")</f>
        <v/>
      </c>
      <c r="E702" s="9" t="n"/>
      <c r="F702" s="10" t="n"/>
    </row>
    <row r="703">
      <c r="A703" s="5" t="n"/>
      <c r="B703" s="6" t="n"/>
      <c r="C703" s="7" t="n"/>
      <c r="D703" s="7">
        <f>IFERROR(T(VLOOKUP($A703,Players!$A:$E,2,FALSE)),"")</f>
        <v/>
      </c>
      <c r="E703" s="6" t="n"/>
      <c r="F703" s="7" t="n"/>
    </row>
    <row r="704">
      <c r="A704" s="8" t="n"/>
      <c r="B704" s="9" t="n"/>
      <c r="C704" s="10" t="n"/>
      <c r="D704" s="10">
        <f>IFERROR(T(VLOOKUP($A704,Players!$A:$E,2,FALSE)),"")</f>
        <v/>
      </c>
      <c r="E704" s="9" t="n"/>
      <c r="F704" s="10" t="n"/>
    </row>
    <row r="705">
      <c r="A705" s="5" t="n"/>
      <c r="B705" s="6" t="n"/>
      <c r="C705" s="7" t="n"/>
      <c r="D705" s="7">
        <f>IFERROR(T(VLOOKUP($A705,Players!$A:$E,2,FALSE)),"")</f>
        <v/>
      </c>
      <c r="E705" s="6" t="n"/>
      <c r="F705" s="7" t="n"/>
    </row>
    <row r="706">
      <c r="A706" s="8" t="n"/>
      <c r="B706" s="9" t="n"/>
      <c r="C706" s="10" t="n"/>
      <c r="D706" s="10">
        <f>IFERROR(T(VLOOKUP($A706,Players!$A:$E,2,FALSE)),"")</f>
        <v/>
      </c>
      <c r="E706" s="9" t="n"/>
      <c r="F706" s="10" t="n"/>
    </row>
    <row r="707">
      <c r="A707" s="5" t="n"/>
      <c r="B707" s="6" t="n"/>
      <c r="C707" s="7" t="n"/>
      <c r="D707" s="7">
        <f>IFERROR(T(VLOOKUP($A707,Players!$A:$E,2,FALSE)),"")</f>
        <v/>
      </c>
      <c r="E707" s="6" t="n"/>
      <c r="F707" s="7" t="n"/>
    </row>
    <row r="708">
      <c r="A708" s="8" t="n"/>
      <c r="B708" s="9" t="n"/>
      <c r="C708" s="10" t="n"/>
      <c r="D708" s="10">
        <f>IFERROR(T(VLOOKUP($A708,Players!$A:$E,2,FALSE)),"")</f>
        <v/>
      </c>
      <c r="E708" s="9" t="n"/>
      <c r="F708" s="10" t="n"/>
    </row>
    <row r="709">
      <c r="A709" s="5" t="n"/>
      <c r="B709" s="6" t="n"/>
      <c r="C709" s="7" t="n"/>
      <c r="D709" s="7">
        <f>IFERROR(T(VLOOKUP($A709,Players!$A:$E,2,FALSE)),"")</f>
        <v/>
      </c>
      <c r="E709" s="6" t="n"/>
      <c r="F709" s="7" t="n"/>
    </row>
    <row r="710">
      <c r="A710" s="8" t="n"/>
      <c r="B710" s="9" t="n"/>
      <c r="C710" s="10" t="n"/>
      <c r="D710" s="10">
        <f>IFERROR(T(VLOOKUP($A710,Players!$A:$E,2,FALSE)),"")</f>
        <v/>
      </c>
      <c r="E710" s="9" t="n"/>
      <c r="F710" s="10" t="n"/>
    </row>
    <row r="711">
      <c r="A711" s="5" t="n"/>
      <c r="B711" s="6" t="n"/>
      <c r="C711" s="7" t="n"/>
      <c r="D711" s="7">
        <f>IFERROR(T(VLOOKUP($A711,Players!$A:$E,2,FALSE)),"")</f>
        <v/>
      </c>
      <c r="E711" s="6" t="n"/>
      <c r="F711" s="7" t="n"/>
    </row>
    <row r="712">
      <c r="A712" s="8" t="n"/>
      <c r="B712" s="9" t="n"/>
      <c r="C712" s="10" t="n"/>
      <c r="D712" s="10">
        <f>IFERROR(T(VLOOKUP($A712,Players!$A:$E,2,FALSE)),"")</f>
        <v/>
      </c>
      <c r="E712" s="9" t="n"/>
      <c r="F712" s="10" t="n"/>
    </row>
    <row r="713">
      <c r="A713" s="5" t="n"/>
      <c r="B713" s="6" t="n"/>
      <c r="C713" s="7" t="n"/>
      <c r="D713" s="7">
        <f>IFERROR(T(VLOOKUP($A713,Players!$A:$E,2,FALSE)),"")</f>
        <v/>
      </c>
      <c r="E713" s="6" t="n"/>
      <c r="F713" s="7" t="n"/>
    </row>
    <row r="714">
      <c r="A714" s="8" t="n"/>
      <c r="B714" s="9" t="n"/>
      <c r="C714" s="10" t="n"/>
      <c r="D714" s="10">
        <f>IFERROR(T(VLOOKUP($A714,Players!$A:$E,2,FALSE)),"")</f>
        <v/>
      </c>
      <c r="E714" s="9" t="n"/>
      <c r="F714" s="10" t="n"/>
    </row>
    <row r="715">
      <c r="A715" s="5" t="n"/>
      <c r="B715" s="6" t="n"/>
      <c r="C715" s="7" t="n"/>
      <c r="D715" s="7">
        <f>IFERROR(T(VLOOKUP($A715,Players!$A:$E,2,FALSE)),"")</f>
        <v/>
      </c>
      <c r="E715" s="6" t="n"/>
      <c r="F715" s="7" t="n"/>
    </row>
    <row r="716">
      <c r="A716" s="8" t="n"/>
      <c r="B716" s="9" t="n"/>
      <c r="C716" s="10" t="n"/>
      <c r="D716" s="10">
        <f>IFERROR(T(VLOOKUP($A716,Players!$A:$E,2,FALSE)),"")</f>
        <v/>
      </c>
      <c r="E716" s="9" t="n"/>
      <c r="F716" s="10" t="n"/>
    </row>
    <row r="717">
      <c r="A717" s="5" t="n"/>
      <c r="B717" s="6" t="n"/>
      <c r="C717" s="7" t="n"/>
      <c r="D717" s="7">
        <f>IFERROR(T(VLOOKUP($A717,Players!$A:$E,2,FALSE)),"")</f>
        <v/>
      </c>
      <c r="E717" s="6" t="n"/>
      <c r="F717" s="7" t="n"/>
    </row>
    <row r="718">
      <c r="A718" s="8" t="n"/>
      <c r="B718" s="9" t="n"/>
      <c r="C718" s="10" t="n"/>
      <c r="D718" s="10">
        <f>IFERROR(T(VLOOKUP($A718,Players!$A:$E,2,FALSE)),"")</f>
        <v/>
      </c>
      <c r="E718" s="9" t="n"/>
      <c r="F718" s="10" t="n"/>
    </row>
    <row r="719">
      <c r="A719" s="5" t="n"/>
      <c r="B719" s="6" t="n"/>
      <c r="C719" s="7" t="n"/>
      <c r="D719" s="7">
        <f>IFERROR(T(VLOOKUP($A719,Players!$A:$E,2,FALSE)),"")</f>
        <v/>
      </c>
      <c r="E719" s="6" t="n"/>
      <c r="F719" s="7" t="n"/>
    </row>
    <row r="720">
      <c r="A720" s="8" t="n"/>
      <c r="B720" s="9" t="n"/>
      <c r="C720" s="10" t="n"/>
      <c r="D720" s="10">
        <f>IFERROR(T(VLOOKUP($A720,Players!$A:$E,2,FALSE)),"")</f>
        <v/>
      </c>
      <c r="E720" s="9" t="n"/>
      <c r="F720" s="10" t="n"/>
    </row>
    <row r="721">
      <c r="A721" s="5" t="n"/>
      <c r="B721" s="6" t="n"/>
      <c r="C721" s="7" t="n"/>
      <c r="D721" s="7">
        <f>IFERROR(T(VLOOKUP($A721,Players!$A:$E,2,FALSE)),"")</f>
        <v/>
      </c>
      <c r="E721" s="6" t="n"/>
      <c r="F721" s="7" t="n"/>
    </row>
    <row r="722">
      <c r="A722" s="8" t="n"/>
      <c r="B722" s="9" t="n"/>
      <c r="C722" s="10" t="n"/>
      <c r="D722" s="10">
        <f>IFERROR(T(VLOOKUP($A722,Players!$A:$E,2,FALSE)),"")</f>
        <v/>
      </c>
      <c r="E722" s="9" t="n"/>
      <c r="F722" s="10" t="n"/>
    </row>
    <row r="723">
      <c r="A723" s="5" t="n"/>
      <c r="B723" s="6" t="n"/>
      <c r="C723" s="7" t="n"/>
      <c r="D723" s="7">
        <f>IFERROR(T(VLOOKUP($A723,Players!$A:$E,2,FALSE)),"")</f>
        <v/>
      </c>
      <c r="E723" s="6" t="n"/>
      <c r="F723" s="7" t="n"/>
    </row>
    <row r="724">
      <c r="A724" s="8" t="n"/>
      <c r="B724" s="9" t="n"/>
      <c r="C724" s="10" t="n"/>
      <c r="D724" s="10">
        <f>IFERROR(T(VLOOKUP($A724,Players!$A:$E,2,FALSE)),"")</f>
        <v/>
      </c>
      <c r="E724" s="9" t="n"/>
      <c r="F724" s="10" t="n"/>
    </row>
    <row r="725">
      <c r="A725" s="5" t="n"/>
      <c r="B725" s="6" t="n"/>
      <c r="C725" s="7" t="n"/>
      <c r="D725" s="7">
        <f>IFERROR(T(VLOOKUP($A725,Players!$A:$E,2,FALSE)),"")</f>
        <v/>
      </c>
      <c r="E725" s="6" t="n"/>
      <c r="F725" s="7" t="n"/>
    </row>
    <row r="726">
      <c r="A726" s="8" t="n"/>
      <c r="B726" s="9" t="n"/>
      <c r="C726" s="10" t="n"/>
      <c r="D726" s="10">
        <f>IFERROR(T(VLOOKUP($A726,Players!$A:$E,2,FALSE)),"")</f>
        <v/>
      </c>
      <c r="E726" s="9" t="n"/>
      <c r="F726" s="10" t="n"/>
    </row>
    <row r="727">
      <c r="A727" s="5" t="n"/>
      <c r="B727" s="6" t="n"/>
      <c r="C727" s="7" t="n"/>
      <c r="D727" s="7">
        <f>IFERROR(T(VLOOKUP($A727,Players!$A:$E,2,FALSE)),"")</f>
        <v/>
      </c>
      <c r="E727" s="6" t="n"/>
      <c r="F727" s="7" t="n"/>
    </row>
    <row r="728">
      <c r="A728" s="8" t="n"/>
      <c r="B728" s="9" t="n"/>
      <c r="C728" s="10" t="n"/>
      <c r="D728" s="10">
        <f>IFERROR(T(VLOOKUP($A728,Players!$A:$E,2,FALSE)),"")</f>
        <v/>
      </c>
      <c r="E728" s="9" t="n"/>
      <c r="F728" s="10" t="n"/>
    </row>
    <row r="729">
      <c r="A729" s="5" t="n"/>
      <c r="B729" s="6" t="n"/>
      <c r="C729" s="7" t="n"/>
      <c r="D729" s="7">
        <f>IFERROR(T(VLOOKUP($A729,Players!$A:$E,2,FALSE)),"")</f>
        <v/>
      </c>
      <c r="E729" s="6" t="n"/>
      <c r="F729" s="7" t="n"/>
    </row>
    <row r="730">
      <c r="A730" s="8" t="n"/>
      <c r="B730" s="9" t="n"/>
      <c r="C730" s="10" t="n"/>
      <c r="D730" s="10">
        <f>IFERROR(T(VLOOKUP($A730,Players!$A:$E,2,FALSE)),"")</f>
        <v/>
      </c>
      <c r="E730" s="9" t="n"/>
      <c r="F730" s="10" t="n"/>
    </row>
    <row r="731">
      <c r="A731" s="5" t="n"/>
      <c r="B731" s="6" t="n"/>
      <c r="C731" s="7" t="n"/>
      <c r="D731" s="7">
        <f>IFERROR(T(VLOOKUP($A731,Players!$A:$E,2,FALSE)),"")</f>
        <v/>
      </c>
      <c r="E731" s="6" t="n"/>
      <c r="F731" s="7" t="n"/>
    </row>
    <row r="732">
      <c r="A732" s="8" t="n"/>
      <c r="B732" s="9" t="n"/>
      <c r="C732" s="10" t="n"/>
      <c r="D732" s="10">
        <f>IFERROR(T(VLOOKUP($A732,Players!$A:$E,2,FALSE)),"")</f>
        <v/>
      </c>
      <c r="E732" s="9" t="n"/>
      <c r="F732" s="10" t="n"/>
    </row>
    <row r="733">
      <c r="A733" s="5" t="n"/>
      <c r="B733" s="6" t="n"/>
      <c r="C733" s="7" t="n"/>
      <c r="D733" s="7">
        <f>IFERROR(T(VLOOKUP($A733,Players!$A:$E,2,FALSE)),"")</f>
        <v/>
      </c>
      <c r="E733" s="6" t="n"/>
      <c r="F733" s="7" t="n"/>
    </row>
    <row r="734">
      <c r="A734" s="8" t="n"/>
      <c r="B734" s="9" t="n"/>
      <c r="C734" s="10" t="n"/>
      <c r="D734" s="10">
        <f>IFERROR(T(VLOOKUP($A734,Players!$A:$E,2,FALSE)),"")</f>
        <v/>
      </c>
      <c r="E734" s="9" t="n"/>
      <c r="F734" s="10" t="n"/>
    </row>
    <row r="735">
      <c r="A735" s="5" t="n"/>
      <c r="B735" s="6" t="n"/>
      <c r="C735" s="7" t="n"/>
      <c r="D735" s="7">
        <f>IFERROR(T(VLOOKUP($A735,Players!$A:$E,2,FALSE)),"")</f>
        <v/>
      </c>
      <c r="E735" s="6" t="n"/>
      <c r="F735" s="7" t="n"/>
    </row>
    <row r="736">
      <c r="A736" s="8" t="n"/>
      <c r="B736" s="9" t="n"/>
      <c r="C736" s="10" t="n"/>
      <c r="D736" s="10">
        <f>IFERROR(T(VLOOKUP($A736,Players!$A:$E,2,FALSE)),"")</f>
        <v/>
      </c>
      <c r="E736" s="9" t="n"/>
      <c r="F736" s="10" t="n"/>
    </row>
    <row r="737">
      <c r="A737" s="5" t="n"/>
      <c r="B737" s="6" t="n"/>
      <c r="C737" s="7" t="n"/>
      <c r="D737" s="7">
        <f>IFERROR(T(VLOOKUP($A737,Players!$A:$E,2,FALSE)),"")</f>
        <v/>
      </c>
      <c r="E737" s="6" t="n"/>
      <c r="F737" s="7" t="n"/>
    </row>
    <row r="738">
      <c r="A738" s="8" t="n"/>
      <c r="B738" s="9" t="n"/>
      <c r="C738" s="10" t="n"/>
      <c r="D738" s="10">
        <f>IFERROR(T(VLOOKUP($A738,Players!$A:$E,2,FALSE)),"")</f>
        <v/>
      </c>
      <c r="E738" s="9" t="n"/>
      <c r="F738" s="10" t="n"/>
    </row>
    <row r="739">
      <c r="A739" s="5" t="n"/>
      <c r="B739" s="6" t="n"/>
      <c r="C739" s="7" t="n"/>
      <c r="D739" s="7">
        <f>IFERROR(T(VLOOKUP($A739,Players!$A:$E,2,FALSE)),"")</f>
        <v/>
      </c>
      <c r="E739" s="6" t="n"/>
      <c r="F739" s="7" t="n"/>
    </row>
    <row r="740">
      <c r="A740" s="8" t="n"/>
      <c r="B740" s="9" t="n"/>
      <c r="C740" s="10" t="n"/>
      <c r="D740" s="10">
        <f>IFERROR(T(VLOOKUP($A740,Players!$A:$E,2,FALSE)),"")</f>
        <v/>
      </c>
      <c r="E740" s="9" t="n"/>
      <c r="F740" s="10" t="n"/>
    </row>
    <row r="741">
      <c r="A741" s="5" t="n"/>
      <c r="B741" s="6" t="n"/>
      <c r="C741" s="7" t="n"/>
      <c r="D741" s="7">
        <f>IFERROR(T(VLOOKUP($A741,Players!$A:$E,2,FALSE)),"")</f>
        <v/>
      </c>
      <c r="E741" s="6" t="n"/>
      <c r="F741" s="7" t="n"/>
    </row>
    <row r="742">
      <c r="A742" s="8" t="n"/>
      <c r="B742" s="9" t="n"/>
      <c r="C742" s="10" t="n"/>
      <c r="D742" s="10">
        <f>IFERROR(T(VLOOKUP($A742,Players!$A:$E,2,FALSE)),"")</f>
        <v/>
      </c>
      <c r="E742" s="9" t="n"/>
      <c r="F742" s="10" t="n"/>
    </row>
    <row r="743">
      <c r="A743" s="5" t="n"/>
      <c r="B743" s="6" t="n"/>
      <c r="C743" s="7" t="n"/>
      <c r="D743" s="7">
        <f>IFERROR(T(VLOOKUP($A743,Players!$A:$E,2,FALSE)),"")</f>
        <v/>
      </c>
      <c r="E743" s="6" t="n"/>
      <c r="F743" s="7" t="n"/>
    </row>
    <row r="744">
      <c r="A744" s="8" t="n"/>
      <c r="B744" s="9" t="n"/>
      <c r="C744" s="10" t="n"/>
      <c r="D744" s="10">
        <f>IFERROR(T(VLOOKUP($A744,Players!$A:$E,2,FALSE)),"")</f>
        <v/>
      </c>
      <c r="E744" s="9" t="n"/>
      <c r="F744" s="10" t="n"/>
    </row>
    <row r="745">
      <c r="A745" s="5" t="n"/>
      <c r="B745" s="6" t="n"/>
      <c r="C745" s="7" t="n"/>
      <c r="D745" s="7">
        <f>IFERROR(T(VLOOKUP($A745,Players!$A:$E,2,FALSE)),"")</f>
        <v/>
      </c>
      <c r="E745" s="6" t="n"/>
      <c r="F745" s="7" t="n"/>
    </row>
    <row r="746">
      <c r="A746" s="8" t="n"/>
      <c r="B746" s="9" t="n"/>
      <c r="C746" s="10" t="n"/>
      <c r="D746" s="10">
        <f>IFERROR(T(VLOOKUP($A746,Players!$A:$E,2,FALSE)),"")</f>
        <v/>
      </c>
      <c r="E746" s="9" t="n"/>
      <c r="F746" s="10" t="n"/>
    </row>
    <row r="747">
      <c r="A747" s="5" t="n"/>
      <c r="B747" s="6" t="n"/>
      <c r="C747" s="7" t="n"/>
      <c r="D747" s="7">
        <f>IFERROR(T(VLOOKUP($A747,Players!$A:$E,2,FALSE)),"")</f>
        <v/>
      </c>
      <c r="E747" s="6" t="n"/>
      <c r="F747" s="7" t="n"/>
    </row>
    <row r="748">
      <c r="A748" s="8" t="n"/>
      <c r="B748" s="9" t="n"/>
      <c r="C748" s="10" t="n"/>
      <c r="D748" s="10">
        <f>IFERROR(T(VLOOKUP($A748,Players!$A:$E,2,FALSE)),"")</f>
        <v/>
      </c>
      <c r="E748" s="9" t="n"/>
      <c r="F748" s="10" t="n"/>
    </row>
    <row r="749">
      <c r="A749" s="5" t="n"/>
      <c r="B749" s="6" t="n"/>
      <c r="C749" s="7" t="n"/>
      <c r="D749" s="7">
        <f>IFERROR(T(VLOOKUP($A749,Players!$A:$E,2,FALSE)),"")</f>
        <v/>
      </c>
      <c r="E749" s="6" t="n"/>
      <c r="F749" s="7" t="n"/>
    </row>
    <row r="750">
      <c r="A750" s="8" t="n"/>
      <c r="B750" s="9" t="n"/>
      <c r="C750" s="10" t="n"/>
      <c r="D750" s="10">
        <f>IFERROR(T(VLOOKUP($A750,Players!$A:$E,2,FALSE)),"")</f>
        <v/>
      </c>
      <c r="E750" s="9" t="n"/>
      <c r="F750" s="10" t="n"/>
    </row>
    <row r="751">
      <c r="A751" s="5" t="n"/>
      <c r="B751" s="6" t="n"/>
      <c r="C751" s="7" t="n"/>
      <c r="D751" s="7">
        <f>IFERROR(T(VLOOKUP($A751,Players!$A:$E,2,FALSE)),"")</f>
        <v/>
      </c>
      <c r="E751" s="6" t="n"/>
      <c r="F751" s="7" t="n"/>
    </row>
    <row r="752">
      <c r="A752" s="8" t="n"/>
      <c r="B752" s="9" t="n"/>
      <c r="C752" s="10" t="n"/>
      <c r="D752" s="10">
        <f>IFERROR(T(VLOOKUP($A752,Players!$A:$E,2,FALSE)),"")</f>
        <v/>
      </c>
      <c r="E752" s="9" t="n"/>
      <c r="F752" s="10" t="n"/>
    </row>
    <row r="753">
      <c r="A753" s="5" t="n"/>
      <c r="B753" s="6" t="n"/>
      <c r="C753" s="7" t="n"/>
      <c r="D753" s="7">
        <f>IFERROR(T(VLOOKUP($A753,Players!$A:$E,2,FALSE)),"")</f>
        <v/>
      </c>
      <c r="E753" s="6" t="n"/>
      <c r="F753" s="7" t="n"/>
    </row>
    <row r="754">
      <c r="A754" s="8" t="n"/>
      <c r="B754" s="9" t="n"/>
      <c r="C754" s="10" t="n"/>
      <c r="D754" s="10">
        <f>IFERROR(T(VLOOKUP($A754,Players!$A:$E,2,FALSE)),"")</f>
        <v/>
      </c>
      <c r="E754" s="9" t="n"/>
      <c r="F754" s="10" t="n"/>
    </row>
    <row r="755">
      <c r="A755" s="5" t="n"/>
      <c r="B755" s="6" t="n"/>
      <c r="C755" s="7" t="n"/>
      <c r="D755" s="7">
        <f>IFERROR(T(VLOOKUP($A755,Players!$A:$E,2,FALSE)),"")</f>
        <v/>
      </c>
      <c r="E755" s="6" t="n"/>
      <c r="F755" s="7" t="n"/>
    </row>
    <row r="756">
      <c r="A756" s="8" t="n"/>
      <c r="B756" s="9" t="n"/>
      <c r="C756" s="10" t="n"/>
      <c r="D756" s="10">
        <f>IFERROR(T(VLOOKUP($A756,Players!$A:$E,2,FALSE)),"")</f>
        <v/>
      </c>
      <c r="E756" s="9" t="n"/>
      <c r="F756" s="10" t="n"/>
    </row>
    <row r="757">
      <c r="A757" s="5" t="n"/>
      <c r="B757" s="6" t="n"/>
      <c r="C757" s="7" t="n"/>
      <c r="D757" s="7">
        <f>IFERROR(T(VLOOKUP($A757,Players!$A:$E,2,FALSE)),"")</f>
        <v/>
      </c>
      <c r="E757" s="6" t="n"/>
      <c r="F757" s="7" t="n"/>
    </row>
    <row r="758">
      <c r="A758" s="8" t="n"/>
      <c r="B758" s="9" t="n"/>
      <c r="C758" s="10" t="n"/>
      <c r="D758" s="10">
        <f>IFERROR(T(VLOOKUP($A758,Players!$A:$E,2,FALSE)),"")</f>
        <v/>
      </c>
      <c r="E758" s="9" t="n"/>
      <c r="F758" s="10" t="n"/>
    </row>
    <row r="759">
      <c r="A759" s="5" t="n"/>
      <c r="B759" s="6" t="n"/>
      <c r="C759" s="7" t="n"/>
      <c r="D759" s="7">
        <f>IFERROR(T(VLOOKUP($A759,Players!$A:$E,2,FALSE)),"")</f>
        <v/>
      </c>
      <c r="E759" s="6" t="n"/>
      <c r="F759" s="7" t="n"/>
    </row>
    <row r="760">
      <c r="A760" s="8" t="n"/>
      <c r="B760" s="9" t="n"/>
      <c r="C760" s="10" t="n"/>
      <c r="D760" s="10">
        <f>IFERROR(T(VLOOKUP($A760,Players!$A:$E,2,FALSE)),"")</f>
        <v/>
      </c>
      <c r="E760" s="9" t="n"/>
      <c r="F760" s="10" t="n"/>
    </row>
    <row r="761">
      <c r="A761" s="5" t="n"/>
      <c r="B761" s="6" t="n"/>
      <c r="C761" s="7" t="n"/>
      <c r="D761" s="7">
        <f>IFERROR(T(VLOOKUP($A761,Players!$A:$E,2,FALSE)),"")</f>
        <v/>
      </c>
      <c r="E761" s="6" t="n"/>
      <c r="F761" s="7" t="n"/>
    </row>
    <row r="762">
      <c r="A762" s="8" t="n"/>
      <c r="B762" s="9" t="n"/>
      <c r="C762" s="10" t="n"/>
      <c r="D762" s="10">
        <f>IFERROR(T(VLOOKUP($A762,Players!$A:$E,2,FALSE)),"")</f>
        <v/>
      </c>
      <c r="E762" s="9" t="n"/>
      <c r="F762" s="10" t="n"/>
    </row>
    <row r="763">
      <c r="A763" s="5" t="n"/>
      <c r="B763" s="6" t="n"/>
      <c r="C763" s="7" t="n"/>
      <c r="D763" s="7">
        <f>IFERROR(T(VLOOKUP($A763,Players!$A:$E,2,FALSE)),"")</f>
        <v/>
      </c>
      <c r="E763" s="6" t="n"/>
      <c r="F763" s="7" t="n"/>
    </row>
    <row r="764">
      <c r="A764" s="8" t="n"/>
      <c r="B764" s="9" t="n"/>
      <c r="C764" s="10" t="n"/>
      <c r="D764" s="10">
        <f>IFERROR(T(VLOOKUP($A764,Players!$A:$E,2,FALSE)),"")</f>
        <v/>
      </c>
      <c r="E764" s="9" t="n"/>
      <c r="F764" s="10" t="n"/>
    </row>
    <row r="765">
      <c r="A765" s="5" t="n"/>
      <c r="B765" s="6" t="n"/>
      <c r="C765" s="7" t="n"/>
      <c r="D765" s="7">
        <f>IFERROR(T(VLOOKUP($A765,Players!$A:$E,2,FALSE)),"")</f>
        <v/>
      </c>
      <c r="E765" s="6" t="n"/>
      <c r="F765" s="7" t="n"/>
    </row>
    <row r="766">
      <c r="A766" s="8" t="n"/>
      <c r="B766" s="9" t="n"/>
      <c r="C766" s="10" t="n"/>
      <c r="D766" s="10">
        <f>IFERROR(T(VLOOKUP($A766,Players!$A:$E,2,FALSE)),"")</f>
        <v/>
      </c>
      <c r="E766" s="9" t="n"/>
      <c r="F766" s="10" t="n"/>
    </row>
    <row r="767">
      <c r="A767" s="5" t="n"/>
      <c r="B767" s="6" t="n"/>
      <c r="C767" s="7" t="n"/>
      <c r="D767" s="7">
        <f>IFERROR(T(VLOOKUP($A767,Players!$A:$E,2,FALSE)),"")</f>
        <v/>
      </c>
      <c r="E767" s="6" t="n"/>
      <c r="F767" s="7" t="n"/>
    </row>
    <row r="768">
      <c r="A768" s="8" t="n"/>
      <c r="B768" s="9" t="n"/>
      <c r="C768" s="10" t="n"/>
      <c r="D768" s="10">
        <f>IFERROR(T(VLOOKUP($A768,Players!$A:$E,2,FALSE)),"")</f>
        <v/>
      </c>
      <c r="E768" s="9" t="n"/>
      <c r="F768" s="10" t="n"/>
    </row>
    <row r="769">
      <c r="A769" s="5" t="n"/>
      <c r="B769" s="6" t="n"/>
      <c r="C769" s="7" t="n"/>
      <c r="D769" s="7">
        <f>IFERROR(T(VLOOKUP($A769,Players!$A:$E,2,FALSE)),"")</f>
        <v/>
      </c>
      <c r="E769" s="6" t="n"/>
      <c r="F769" s="7" t="n"/>
    </row>
    <row r="770">
      <c r="A770" s="8" t="n"/>
      <c r="B770" s="9" t="n"/>
      <c r="C770" s="10" t="n"/>
      <c r="D770" s="10">
        <f>IFERROR(T(VLOOKUP($A770,Players!$A:$E,2,FALSE)),"")</f>
        <v/>
      </c>
      <c r="E770" s="9" t="n"/>
      <c r="F770" s="10" t="n"/>
    </row>
    <row r="771">
      <c r="A771" s="5" t="n"/>
      <c r="B771" s="6" t="n"/>
      <c r="C771" s="7" t="n"/>
      <c r="D771" s="7">
        <f>IFERROR(T(VLOOKUP($A771,Players!$A:$E,2,FALSE)),"")</f>
        <v/>
      </c>
      <c r="E771" s="6" t="n"/>
      <c r="F771" s="7" t="n"/>
    </row>
    <row r="772">
      <c r="A772" s="8" t="n"/>
      <c r="B772" s="9" t="n"/>
      <c r="C772" s="10" t="n"/>
      <c r="D772" s="10">
        <f>IFERROR(T(VLOOKUP($A772,Players!$A:$E,2,FALSE)),"")</f>
        <v/>
      </c>
      <c r="E772" s="9" t="n"/>
      <c r="F772" s="10" t="n"/>
    </row>
    <row r="773">
      <c r="A773" s="5" t="n"/>
      <c r="B773" s="6" t="n"/>
      <c r="C773" s="7" t="n"/>
      <c r="D773" s="7">
        <f>IFERROR(T(VLOOKUP($A773,Players!$A:$E,2,FALSE)),"")</f>
        <v/>
      </c>
      <c r="E773" s="6" t="n"/>
      <c r="F773" s="7" t="n"/>
    </row>
    <row r="774">
      <c r="A774" s="8" t="n"/>
      <c r="B774" s="9" t="n"/>
      <c r="C774" s="10" t="n"/>
      <c r="D774" s="10">
        <f>IFERROR(T(VLOOKUP($A774,Players!$A:$E,2,FALSE)),"")</f>
        <v/>
      </c>
      <c r="E774" s="9" t="n"/>
      <c r="F774" s="10" t="n"/>
    </row>
    <row r="775">
      <c r="A775" s="5" t="n"/>
      <c r="B775" s="6" t="n"/>
      <c r="C775" s="7" t="n"/>
      <c r="D775" s="7">
        <f>IFERROR(T(VLOOKUP($A775,Players!$A:$E,2,FALSE)),"")</f>
        <v/>
      </c>
      <c r="E775" s="6" t="n"/>
      <c r="F775" s="7" t="n"/>
    </row>
    <row r="776">
      <c r="A776" s="8" t="n"/>
      <c r="B776" s="9" t="n"/>
      <c r="C776" s="10" t="n"/>
      <c r="D776" s="10">
        <f>IFERROR(T(VLOOKUP($A776,Players!$A:$E,2,FALSE)),"")</f>
        <v/>
      </c>
      <c r="E776" s="9" t="n"/>
      <c r="F776" s="10" t="n"/>
    </row>
    <row r="777">
      <c r="A777" s="5" t="n"/>
      <c r="B777" s="6" t="n"/>
      <c r="C777" s="7" t="n"/>
      <c r="D777" s="7">
        <f>IFERROR(T(VLOOKUP($A777,Players!$A:$E,2,FALSE)),"")</f>
        <v/>
      </c>
      <c r="E777" s="6" t="n"/>
      <c r="F777" s="7" t="n"/>
    </row>
    <row r="778">
      <c r="A778" s="8" t="n"/>
      <c r="B778" s="9" t="n"/>
      <c r="C778" s="10" t="n"/>
      <c r="D778" s="10">
        <f>IFERROR(T(VLOOKUP($A778,Players!$A:$E,2,FALSE)),"")</f>
        <v/>
      </c>
      <c r="E778" s="9" t="n"/>
      <c r="F778" s="10" t="n"/>
    </row>
    <row r="779">
      <c r="A779" s="5" t="n"/>
      <c r="B779" s="6" t="n"/>
      <c r="C779" s="7" t="n"/>
      <c r="D779" s="7">
        <f>IFERROR(T(VLOOKUP($A779,Players!$A:$E,2,FALSE)),"")</f>
        <v/>
      </c>
      <c r="E779" s="6" t="n"/>
      <c r="F779" s="7" t="n"/>
    </row>
    <row r="780">
      <c r="A780" s="8" t="n"/>
      <c r="B780" s="9" t="n"/>
      <c r="C780" s="10" t="n"/>
      <c r="D780" s="10">
        <f>IFERROR(T(VLOOKUP($A780,Players!$A:$E,2,FALSE)),"")</f>
        <v/>
      </c>
      <c r="E780" s="9" t="n"/>
      <c r="F780" s="10" t="n"/>
    </row>
    <row r="781">
      <c r="A781" s="5" t="n"/>
      <c r="B781" s="6" t="n"/>
      <c r="C781" s="7" t="n"/>
      <c r="D781" s="7">
        <f>IFERROR(T(VLOOKUP($A781,Players!$A:$E,2,FALSE)),"")</f>
        <v/>
      </c>
      <c r="E781" s="6" t="n"/>
      <c r="F781" s="7" t="n"/>
    </row>
    <row r="782">
      <c r="A782" s="8" t="n"/>
      <c r="B782" s="9" t="n"/>
      <c r="C782" s="10" t="n"/>
      <c r="D782" s="10">
        <f>IFERROR(T(VLOOKUP($A782,Players!$A:$E,2,FALSE)),"")</f>
        <v/>
      </c>
      <c r="E782" s="9" t="n"/>
      <c r="F782" s="10" t="n"/>
    </row>
    <row r="783">
      <c r="A783" s="5" t="n"/>
      <c r="B783" s="6" t="n"/>
      <c r="C783" s="7" t="n"/>
      <c r="D783" s="7">
        <f>IFERROR(T(VLOOKUP($A783,Players!$A:$E,2,FALSE)),"")</f>
        <v/>
      </c>
      <c r="E783" s="6" t="n"/>
      <c r="F783" s="7" t="n"/>
    </row>
    <row r="784">
      <c r="A784" s="8" t="n"/>
      <c r="B784" s="9" t="n"/>
      <c r="C784" s="10" t="n"/>
      <c r="D784" s="10">
        <f>IFERROR(T(VLOOKUP($A784,Players!$A:$E,2,FALSE)),"")</f>
        <v/>
      </c>
      <c r="E784" s="9" t="n"/>
      <c r="F784" s="10" t="n"/>
    </row>
    <row r="785">
      <c r="A785" s="5" t="n"/>
      <c r="B785" s="6" t="n"/>
      <c r="C785" s="7" t="n"/>
      <c r="D785" s="7">
        <f>IFERROR(T(VLOOKUP($A785,Players!$A:$E,2,FALSE)),"")</f>
        <v/>
      </c>
      <c r="E785" s="6" t="n"/>
      <c r="F785" s="7" t="n"/>
    </row>
    <row r="786">
      <c r="A786" s="8" t="n"/>
      <c r="B786" s="9" t="n"/>
      <c r="C786" s="10" t="n"/>
      <c r="D786" s="10">
        <f>IFERROR(T(VLOOKUP($A786,Players!$A:$E,2,FALSE)),"")</f>
        <v/>
      </c>
      <c r="E786" s="9" t="n"/>
      <c r="F786" s="10" t="n"/>
    </row>
    <row r="787">
      <c r="A787" s="5" t="n"/>
      <c r="B787" s="6" t="n"/>
      <c r="C787" s="7" t="n"/>
      <c r="D787" s="7">
        <f>IFERROR(T(VLOOKUP($A787,Players!$A:$E,2,FALSE)),"")</f>
        <v/>
      </c>
      <c r="E787" s="6" t="n"/>
      <c r="F787" s="7" t="n"/>
    </row>
    <row r="788">
      <c r="A788" s="8" t="n"/>
      <c r="B788" s="9" t="n"/>
      <c r="C788" s="10" t="n"/>
      <c r="D788" s="10">
        <f>IFERROR(T(VLOOKUP($A788,Players!$A:$E,2,FALSE)),"")</f>
        <v/>
      </c>
      <c r="E788" s="9" t="n"/>
      <c r="F788" s="10" t="n"/>
    </row>
    <row r="789">
      <c r="A789" s="5" t="n"/>
      <c r="B789" s="6" t="n"/>
      <c r="C789" s="7" t="n"/>
      <c r="D789" s="7">
        <f>IFERROR(T(VLOOKUP($A789,Players!$A:$E,2,FALSE)),"")</f>
        <v/>
      </c>
      <c r="E789" s="6" t="n"/>
      <c r="F789" s="7" t="n"/>
    </row>
    <row r="790">
      <c r="A790" s="8" t="n"/>
      <c r="B790" s="9" t="n"/>
      <c r="C790" s="10" t="n"/>
      <c r="D790" s="10">
        <f>IFERROR(T(VLOOKUP($A790,Players!$A:$E,2,FALSE)),"")</f>
        <v/>
      </c>
      <c r="E790" s="9" t="n"/>
      <c r="F790" s="10" t="n"/>
    </row>
    <row r="791">
      <c r="A791" s="5" t="n"/>
      <c r="B791" s="6" t="n"/>
      <c r="C791" s="7" t="n"/>
      <c r="D791" s="7">
        <f>IFERROR(T(VLOOKUP($A791,Players!$A:$E,2,FALSE)),"")</f>
        <v/>
      </c>
      <c r="E791" s="6" t="n"/>
      <c r="F791" s="7" t="n"/>
    </row>
    <row r="792">
      <c r="A792" s="8" t="n"/>
      <c r="B792" s="9" t="n"/>
      <c r="C792" s="10" t="n"/>
      <c r="D792" s="10">
        <f>IFERROR(T(VLOOKUP($A792,Players!$A:$E,2,FALSE)),"")</f>
        <v/>
      </c>
      <c r="E792" s="9" t="n"/>
      <c r="F792" s="10" t="n"/>
    </row>
    <row r="793">
      <c r="A793" s="5" t="n"/>
      <c r="B793" s="6" t="n"/>
      <c r="C793" s="7" t="n"/>
      <c r="D793" s="7">
        <f>IFERROR(T(VLOOKUP($A793,Players!$A:$E,2,FALSE)),"")</f>
        <v/>
      </c>
      <c r="E793" s="6" t="n"/>
      <c r="F793" s="7" t="n"/>
    </row>
    <row r="794">
      <c r="A794" s="8" t="n"/>
      <c r="B794" s="9" t="n"/>
      <c r="C794" s="10" t="n"/>
      <c r="D794" s="10">
        <f>IFERROR(T(VLOOKUP($A794,Players!$A:$E,2,FALSE)),"")</f>
        <v/>
      </c>
      <c r="E794" s="9" t="n"/>
      <c r="F794" s="10" t="n"/>
    </row>
    <row r="795">
      <c r="A795" s="5" t="n"/>
      <c r="B795" s="6" t="n"/>
      <c r="C795" s="7" t="n"/>
      <c r="D795" s="7">
        <f>IFERROR(T(VLOOKUP($A795,Players!$A:$E,2,FALSE)),"")</f>
        <v/>
      </c>
      <c r="E795" s="6" t="n"/>
      <c r="F795" s="7" t="n"/>
    </row>
    <row r="796">
      <c r="A796" s="8" t="n"/>
      <c r="B796" s="9" t="n"/>
      <c r="C796" s="10" t="n"/>
      <c r="D796" s="10">
        <f>IFERROR(T(VLOOKUP($A796,Players!$A:$E,2,FALSE)),"")</f>
        <v/>
      </c>
      <c r="E796" s="9" t="n"/>
      <c r="F796" s="10" t="n"/>
    </row>
    <row r="797">
      <c r="A797" s="5" t="n"/>
      <c r="B797" s="6" t="n"/>
      <c r="C797" s="7" t="n"/>
      <c r="D797" s="7">
        <f>IFERROR(T(VLOOKUP($A797,Players!$A:$E,2,FALSE)),"")</f>
        <v/>
      </c>
      <c r="E797" s="6" t="n"/>
      <c r="F797" s="7" t="n"/>
    </row>
    <row r="798">
      <c r="A798" s="8" t="n"/>
      <c r="B798" s="9" t="n"/>
      <c r="C798" s="10" t="n"/>
      <c r="D798" s="10">
        <f>IFERROR(T(VLOOKUP($A798,Players!$A:$E,2,FALSE)),"")</f>
        <v/>
      </c>
      <c r="E798" s="9" t="n"/>
      <c r="F798" s="10" t="n"/>
    </row>
    <row r="799">
      <c r="A799" s="5" t="n"/>
      <c r="B799" s="6" t="n"/>
      <c r="C799" s="7" t="n"/>
      <c r="D799" s="7">
        <f>IFERROR(T(VLOOKUP($A799,Players!$A:$E,2,FALSE)),"")</f>
        <v/>
      </c>
      <c r="E799" s="6" t="n"/>
      <c r="F799" s="7" t="n"/>
    </row>
    <row r="800">
      <c r="A800" s="8" t="n"/>
      <c r="B800" s="9" t="n"/>
      <c r="C800" s="10" t="n"/>
      <c r="D800" s="10">
        <f>IFERROR(T(VLOOKUP($A800,Players!$A:$E,2,FALSE)),"")</f>
        <v/>
      </c>
      <c r="E800" s="9" t="n"/>
      <c r="F800" s="10" t="n"/>
    </row>
    <row r="801">
      <c r="A801" s="5" t="n"/>
      <c r="B801" s="6" t="n"/>
      <c r="C801" s="7" t="n"/>
      <c r="D801" s="7">
        <f>IFERROR(T(VLOOKUP($A801,Players!$A:$E,2,FALSE)),"")</f>
        <v/>
      </c>
      <c r="E801" s="6" t="n"/>
      <c r="F801" s="7" t="n"/>
    </row>
    <row r="802">
      <c r="A802" s="8" t="n"/>
      <c r="B802" s="9" t="n"/>
      <c r="C802" s="10" t="n"/>
      <c r="D802" s="10">
        <f>IFERROR(T(VLOOKUP($A802,Players!$A:$E,2,FALSE)),"")</f>
        <v/>
      </c>
      <c r="E802" s="9" t="n"/>
      <c r="F802" s="10" t="n"/>
    </row>
    <row r="803">
      <c r="A803" s="5" t="n"/>
      <c r="B803" s="6" t="n"/>
      <c r="C803" s="7" t="n"/>
      <c r="D803" s="7">
        <f>IFERROR(T(VLOOKUP($A803,Players!$A:$E,2,FALSE)),"")</f>
        <v/>
      </c>
      <c r="E803" s="6" t="n"/>
      <c r="F803" s="7" t="n"/>
    </row>
    <row r="804">
      <c r="A804" s="8" t="n"/>
      <c r="B804" s="9" t="n"/>
      <c r="C804" s="10" t="n"/>
      <c r="D804" s="10">
        <f>IFERROR(T(VLOOKUP($A804,Players!$A:$E,2,FALSE)),"")</f>
        <v/>
      </c>
      <c r="E804" s="9" t="n"/>
      <c r="F804" s="10" t="n"/>
    </row>
    <row r="805">
      <c r="A805" s="5" t="n"/>
      <c r="B805" s="6" t="n"/>
      <c r="C805" s="7" t="n"/>
      <c r="D805" s="7">
        <f>IFERROR(T(VLOOKUP($A805,Players!$A:$E,2,FALSE)),"")</f>
        <v/>
      </c>
      <c r="E805" s="6" t="n"/>
      <c r="F805" s="7" t="n"/>
    </row>
    <row r="806">
      <c r="A806" s="8" t="n"/>
      <c r="B806" s="9" t="n"/>
      <c r="C806" s="10" t="n"/>
      <c r="D806" s="10">
        <f>IFERROR(T(VLOOKUP($A806,Players!$A:$E,2,FALSE)),"")</f>
        <v/>
      </c>
      <c r="E806" s="9" t="n"/>
      <c r="F806" s="10" t="n"/>
    </row>
    <row r="807">
      <c r="A807" s="5" t="n"/>
      <c r="B807" s="6" t="n"/>
      <c r="C807" s="7" t="n"/>
      <c r="D807" s="7">
        <f>IFERROR(T(VLOOKUP($A807,Players!$A:$E,2,FALSE)),"")</f>
        <v/>
      </c>
      <c r="E807" s="6" t="n"/>
      <c r="F807" s="7" t="n"/>
    </row>
    <row r="808">
      <c r="A808" s="8" t="n"/>
      <c r="B808" s="9" t="n"/>
      <c r="C808" s="10" t="n"/>
      <c r="D808" s="10">
        <f>IFERROR(T(VLOOKUP($A808,Players!$A:$E,2,FALSE)),"")</f>
        <v/>
      </c>
      <c r="E808" s="9" t="n"/>
      <c r="F808" s="10" t="n"/>
    </row>
    <row r="809">
      <c r="A809" s="5" t="n"/>
      <c r="B809" s="6" t="n"/>
      <c r="C809" s="7" t="n"/>
      <c r="D809" s="7">
        <f>IFERROR(T(VLOOKUP($A809,Players!$A:$E,2,FALSE)),"")</f>
        <v/>
      </c>
      <c r="E809" s="6" t="n"/>
      <c r="F809" s="7" t="n"/>
    </row>
    <row r="810">
      <c r="A810" s="8" t="n"/>
      <c r="B810" s="9" t="n"/>
      <c r="C810" s="10" t="n"/>
      <c r="D810" s="10">
        <f>IFERROR(T(VLOOKUP($A810,Players!$A:$E,2,FALSE)),"")</f>
        <v/>
      </c>
      <c r="E810" s="9" t="n"/>
      <c r="F810" s="10" t="n"/>
    </row>
    <row r="811">
      <c r="A811" s="5" t="n"/>
      <c r="B811" s="6" t="n"/>
      <c r="C811" s="7" t="n"/>
      <c r="D811" s="7">
        <f>IFERROR(T(VLOOKUP($A811,Players!$A:$E,2,FALSE)),"")</f>
        <v/>
      </c>
      <c r="E811" s="6" t="n"/>
      <c r="F811" s="7" t="n"/>
    </row>
    <row r="812">
      <c r="A812" s="8" t="n"/>
      <c r="B812" s="9" t="n"/>
      <c r="C812" s="10" t="n"/>
      <c r="D812" s="10">
        <f>IFERROR(T(VLOOKUP($A812,Players!$A:$E,2,FALSE)),"")</f>
        <v/>
      </c>
      <c r="E812" s="9" t="n"/>
      <c r="F812" s="10" t="n"/>
    </row>
    <row r="813">
      <c r="A813" s="5" t="n"/>
      <c r="B813" s="6" t="n"/>
      <c r="C813" s="7" t="n"/>
      <c r="D813" s="7">
        <f>IFERROR(T(VLOOKUP($A813,Players!$A:$E,2,FALSE)),"")</f>
        <v/>
      </c>
      <c r="E813" s="6" t="n"/>
      <c r="F813" s="7" t="n"/>
    </row>
    <row r="814">
      <c r="A814" s="8" t="n"/>
      <c r="B814" s="9" t="n"/>
      <c r="C814" s="10" t="n"/>
      <c r="D814" s="10">
        <f>IFERROR(T(VLOOKUP($A814,Players!$A:$E,2,FALSE)),"")</f>
        <v/>
      </c>
      <c r="E814" s="9" t="n"/>
      <c r="F814" s="10" t="n"/>
    </row>
    <row r="815">
      <c r="A815" s="5" t="n"/>
      <c r="B815" s="6" t="n"/>
      <c r="C815" s="7" t="n"/>
      <c r="D815" s="7">
        <f>IFERROR(T(VLOOKUP($A815,Players!$A:$E,2,FALSE)),"")</f>
        <v/>
      </c>
      <c r="E815" s="6" t="n"/>
      <c r="F815" s="7" t="n"/>
    </row>
    <row r="816">
      <c r="A816" s="8" t="n"/>
      <c r="B816" s="9" t="n"/>
      <c r="C816" s="10" t="n"/>
      <c r="D816" s="10">
        <f>IFERROR(T(VLOOKUP($A816,Players!$A:$E,2,FALSE)),"")</f>
        <v/>
      </c>
      <c r="E816" s="9" t="n"/>
      <c r="F816" s="10" t="n"/>
    </row>
    <row r="817">
      <c r="A817" s="5" t="n"/>
      <c r="B817" s="6" t="n"/>
      <c r="C817" s="7" t="n"/>
      <c r="D817" s="7">
        <f>IFERROR(T(VLOOKUP($A817,Players!$A:$E,2,FALSE)),"")</f>
        <v/>
      </c>
      <c r="E817" s="6" t="n"/>
      <c r="F817" s="7" t="n"/>
    </row>
    <row r="818">
      <c r="A818" s="8" t="n"/>
      <c r="B818" s="9" t="n"/>
      <c r="C818" s="10" t="n"/>
      <c r="D818" s="10">
        <f>IFERROR(T(VLOOKUP($A818,Players!$A:$E,2,FALSE)),"")</f>
        <v/>
      </c>
      <c r="E818" s="9" t="n"/>
      <c r="F818" s="10" t="n"/>
    </row>
    <row r="819">
      <c r="A819" s="5" t="n"/>
      <c r="B819" s="6" t="n"/>
      <c r="C819" s="7" t="n"/>
      <c r="D819" s="7">
        <f>IFERROR(T(VLOOKUP($A819,Players!$A:$E,2,FALSE)),"")</f>
        <v/>
      </c>
      <c r="E819" s="6" t="n"/>
      <c r="F819" s="7" t="n"/>
    </row>
    <row r="820">
      <c r="A820" s="8" t="n"/>
      <c r="B820" s="9" t="n"/>
      <c r="C820" s="10" t="n"/>
      <c r="D820" s="10">
        <f>IFERROR(T(VLOOKUP($A820,Players!$A:$E,2,FALSE)),"")</f>
        <v/>
      </c>
      <c r="E820" s="9" t="n"/>
      <c r="F820" s="10" t="n"/>
    </row>
    <row r="821">
      <c r="A821" s="5" t="n"/>
      <c r="B821" s="6" t="n"/>
      <c r="C821" s="7" t="n"/>
      <c r="D821" s="7">
        <f>IFERROR(T(VLOOKUP($A821,Players!$A:$E,2,FALSE)),"")</f>
        <v/>
      </c>
      <c r="E821" s="6" t="n"/>
      <c r="F821" s="7" t="n"/>
    </row>
    <row r="822">
      <c r="A822" s="8" t="n"/>
      <c r="B822" s="9" t="n"/>
      <c r="C822" s="10" t="n"/>
      <c r="D822" s="10">
        <f>IFERROR(T(VLOOKUP($A822,Players!$A:$E,2,FALSE)),"")</f>
        <v/>
      </c>
      <c r="E822" s="9" t="n"/>
      <c r="F822" s="10" t="n"/>
    </row>
    <row r="823">
      <c r="A823" s="5" t="n"/>
      <c r="B823" s="6" t="n"/>
      <c r="C823" s="7" t="n"/>
      <c r="D823" s="7">
        <f>IFERROR(T(VLOOKUP($A823,Players!$A:$E,2,FALSE)),"")</f>
        <v/>
      </c>
      <c r="E823" s="6" t="n"/>
      <c r="F823" s="7" t="n"/>
    </row>
    <row r="824">
      <c r="A824" s="8" t="n"/>
      <c r="B824" s="9" t="n"/>
      <c r="C824" s="10" t="n"/>
      <c r="D824" s="10">
        <f>IFERROR(T(VLOOKUP($A824,Players!$A:$E,2,FALSE)),"")</f>
        <v/>
      </c>
      <c r="E824" s="9" t="n"/>
      <c r="F824" s="10" t="n"/>
    </row>
    <row r="825">
      <c r="A825" s="5" t="n"/>
      <c r="B825" s="6" t="n"/>
      <c r="C825" s="7" t="n"/>
      <c r="D825" s="7">
        <f>IFERROR(T(VLOOKUP($A825,Players!$A:$E,2,FALSE)),"")</f>
        <v/>
      </c>
      <c r="E825" s="6" t="n"/>
      <c r="F825" s="7" t="n"/>
    </row>
    <row r="826">
      <c r="A826" s="8" t="n"/>
      <c r="B826" s="9" t="n"/>
      <c r="C826" s="10" t="n"/>
      <c r="D826" s="10">
        <f>IFERROR(T(VLOOKUP($A826,Players!$A:$E,2,FALSE)),"")</f>
        <v/>
      </c>
      <c r="E826" s="9" t="n"/>
      <c r="F826" s="10" t="n"/>
    </row>
    <row r="827">
      <c r="A827" s="5" t="n"/>
      <c r="B827" s="6" t="n"/>
      <c r="C827" s="7" t="n"/>
      <c r="D827" s="7">
        <f>IFERROR(T(VLOOKUP($A827,Players!$A:$E,2,FALSE)),"")</f>
        <v/>
      </c>
      <c r="E827" s="6" t="n"/>
      <c r="F827" s="7" t="n"/>
    </row>
    <row r="828">
      <c r="A828" s="8" t="n"/>
      <c r="B828" s="9" t="n"/>
      <c r="C828" s="10" t="n"/>
      <c r="D828" s="10">
        <f>IFERROR(T(VLOOKUP($A828,Players!$A:$E,2,FALSE)),"")</f>
        <v/>
      </c>
      <c r="E828" s="9" t="n"/>
      <c r="F828" s="10" t="n"/>
    </row>
    <row r="829">
      <c r="A829" s="5" t="n"/>
      <c r="B829" s="6" t="n"/>
      <c r="C829" s="7" t="n"/>
      <c r="D829" s="7">
        <f>IFERROR(T(VLOOKUP($A829,Players!$A:$E,2,FALSE)),"")</f>
        <v/>
      </c>
      <c r="E829" s="6" t="n"/>
      <c r="F829" s="7" t="n"/>
    </row>
    <row r="830">
      <c r="A830" s="8" t="n"/>
      <c r="B830" s="9" t="n"/>
      <c r="C830" s="10" t="n"/>
      <c r="D830" s="10">
        <f>IFERROR(T(VLOOKUP($A830,Players!$A:$E,2,FALSE)),"")</f>
        <v/>
      </c>
      <c r="E830" s="9" t="n"/>
      <c r="F830" s="10" t="n"/>
    </row>
    <row r="831">
      <c r="A831" s="5" t="n"/>
      <c r="B831" s="6" t="n"/>
      <c r="C831" s="7" t="n"/>
      <c r="D831" s="7">
        <f>IFERROR(T(VLOOKUP($A831,Players!$A:$E,2,FALSE)),"")</f>
        <v/>
      </c>
      <c r="E831" s="6" t="n"/>
      <c r="F831" s="7" t="n"/>
    </row>
    <row r="832">
      <c r="A832" s="8" t="n"/>
      <c r="B832" s="9" t="n"/>
      <c r="C832" s="10" t="n"/>
      <c r="D832" s="10">
        <f>IFERROR(T(VLOOKUP($A832,Players!$A:$E,2,FALSE)),"")</f>
        <v/>
      </c>
      <c r="E832" s="9" t="n"/>
      <c r="F832" s="10" t="n"/>
    </row>
    <row r="833">
      <c r="A833" s="5" t="n"/>
      <c r="B833" s="6" t="n"/>
      <c r="C833" s="7" t="n"/>
      <c r="D833" s="7">
        <f>IFERROR(T(VLOOKUP($A833,Players!$A:$E,2,FALSE)),"")</f>
        <v/>
      </c>
      <c r="E833" s="6" t="n"/>
      <c r="F833" s="7" t="n"/>
    </row>
    <row r="834">
      <c r="A834" s="8" t="n"/>
      <c r="B834" s="9" t="n"/>
      <c r="C834" s="10" t="n"/>
      <c r="D834" s="10">
        <f>IFERROR(T(VLOOKUP($A834,Players!$A:$E,2,FALSE)),"")</f>
        <v/>
      </c>
      <c r="E834" s="9" t="n"/>
      <c r="F834" s="10" t="n"/>
    </row>
    <row r="835">
      <c r="A835" s="5" t="n"/>
      <c r="B835" s="6" t="n"/>
      <c r="C835" s="7" t="n"/>
      <c r="D835" s="7">
        <f>IFERROR(T(VLOOKUP($A835,Players!$A:$E,2,FALSE)),"")</f>
        <v/>
      </c>
      <c r="E835" s="6" t="n"/>
      <c r="F835" s="7" t="n"/>
    </row>
    <row r="836">
      <c r="A836" s="8" t="n"/>
      <c r="B836" s="9" t="n"/>
      <c r="C836" s="10" t="n"/>
      <c r="D836" s="10">
        <f>IFERROR(T(VLOOKUP($A836,Players!$A:$E,2,FALSE)),"")</f>
        <v/>
      </c>
      <c r="E836" s="9" t="n"/>
      <c r="F836" s="10" t="n"/>
    </row>
    <row r="837">
      <c r="A837" s="5" t="n"/>
      <c r="B837" s="6" t="n"/>
      <c r="C837" s="7" t="n"/>
      <c r="D837" s="7">
        <f>IFERROR(T(VLOOKUP($A837,Players!$A:$E,2,FALSE)),"")</f>
        <v/>
      </c>
      <c r="E837" s="6" t="n"/>
      <c r="F837" s="7" t="n"/>
    </row>
    <row r="838">
      <c r="A838" s="8" t="n"/>
      <c r="B838" s="9" t="n"/>
      <c r="C838" s="10" t="n"/>
      <c r="D838" s="10">
        <f>IFERROR(T(VLOOKUP($A838,Players!$A:$E,2,FALSE)),"")</f>
        <v/>
      </c>
      <c r="E838" s="9" t="n"/>
      <c r="F838" s="10" t="n"/>
    </row>
    <row r="839">
      <c r="A839" s="5" t="n"/>
      <c r="B839" s="6" t="n"/>
      <c r="C839" s="7" t="n"/>
      <c r="D839" s="7">
        <f>IFERROR(T(VLOOKUP($A839,Players!$A:$E,2,FALSE)),"")</f>
        <v/>
      </c>
      <c r="E839" s="6" t="n"/>
      <c r="F839" s="7" t="n"/>
    </row>
    <row r="840">
      <c r="A840" s="8" t="n"/>
      <c r="B840" s="9" t="n"/>
      <c r="C840" s="10" t="n"/>
      <c r="D840" s="10">
        <f>IFERROR(T(VLOOKUP($A840,Players!$A:$E,2,FALSE)),"")</f>
        <v/>
      </c>
      <c r="E840" s="9" t="n"/>
      <c r="F840" s="10" t="n"/>
    </row>
    <row r="841">
      <c r="A841" s="5" t="n"/>
      <c r="B841" s="6" t="n"/>
      <c r="C841" s="7" t="n"/>
      <c r="D841" s="7">
        <f>IFERROR(T(VLOOKUP($A841,Players!$A:$E,2,FALSE)),"")</f>
        <v/>
      </c>
      <c r="E841" s="6" t="n"/>
      <c r="F841" s="7" t="n"/>
    </row>
    <row r="842">
      <c r="A842" s="8" t="n"/>
      <c r="B842" s="9" t="n"/>
      <c r="C842" s="10" t="n"/>
      <c r="D842" s="10">
        <f>IFERROR(T(VLOOKUP($A842,Players!$A:$E,2,FALSE)),"")</f>
        <v/>
      </c>
      <c r="E842" s="9" t="n"/>
      <c r="F842" s="10" t="n"/>
    </row>
    <row r="843">
      <c r="A843" s="5" t="n"/>
      <c r="B843" s="6" t="n"/>
      <c r="C843" s="7" t="n"/>
      <c r="D843" s="7">
        <f>IFERROR(T(VLOOKUP($A843,Players!$A:$E,2,FALSE)),"")</f>
        <v/>
      </c>
      <c r="E843" s="6" t="n"/>
      <c r="F843" s="7" t="n"/>
    </row>
    <row r="844">
      <c r="A844" s="8" t="n"/>
      <c r="B844" s="9" t="n"/>
      <c r="C844" s="10" t="n"/>
      <c r="D844" s="10">
        <f>IFERROR(T(VLOOKUP($A844,Players!$A:$E,2,FALSE)),"")</f>
        <v/>
      </c>
      <c r="E844" s="9" t="n"/>
      <c r="F844" s="10" t="n"/>
    </row>
    <row r="845">
      <c r="A845" s="5" t="n"/>
      <c r="B845" s="6" t="n"/>
      <c r="C845" s="7" t="n"/>
      <c r="D845" s="7">
        <f>IFERROR(T(VLOOKUP($A845,Players!$A:$E,2,FALSE)),"")</f>
        <v/>
      </c>
      <c r="E845" s="6" t="n"/>
      <c r="F845" s="7" t="n"/>
    </row>
    <row r="846">
      <c r="A846" s="8" t="n"/>
      <c r="B846" s="9" t="n"/>
      <c r="C846" s="10" t="n"/>
      <c r="D846" s="10">
        <f>IFERROR(T(VLOOKUP($A846,Players!$A:$E,2,FALSE)),"")</f>
        <v/>
      </c>
      <c r="E846" s="9" t="n"/>
      <c r="F846" s="10" t="n"/>
    </row>
    <row r="847">
      <c r="A847" s="5" t="n"/>
      <c r="B847" s="6" t="n"/>
      <c r="C847" s="7" t="n"/>
      <c r="D847" s="7">
        <f>IFERROR(T(VLOOKUP($A847,Players!$A:$E,2,FALSE)),"")</f>
        <v/>
      </c>
      <c r="E847" s="6" t="n"/>
      <c r="F847" s="7" t="n"/>
    </row>
    <row r="848">
      <c r="A848" s="8" t="n"/>
      <c r="B848" s="9" t="n"/>
      <c r="C848" s="10" t="n"/>
      <c r="D848" s="10">
        <f>IFERROR(T(VLOOKUP($A848,Players!$A:$E,2,FALSE)),"")</f>
        <v/>
      </c>
      <c r="E848" s="9" t="n"/>
      <c r="F848" s="10" t="n"/>
    </row>
    <row r="849">
      <c r="A849" s="5" t="n"/>
      <c r="B849" s="6" t="n"/>
      <c r="C849" s="7" t="n"/>
      <c r="D849" s="7">
        <f>IFERROR(T(VLOOKUP($A849,Players!$A:$E,2,FALSE)),"")</f>
        <v/>
      </c>
      <c r="E849" s="6" t="n"/>
      <c r="F849" s="7" t="n"/>
    </row>
    <row r="850">
      <c r="A850" s="8" t="n"/>
      <c r="B850" s="9" t="n"/>
      <c r="C850" s="10" t="n"/>
      <c r="D850" s="10">
        <f>IFERROR(T(VLOOKUP($A850,Players!$A:$E,2,FALSE)),"")</f>
        <v/>
      </c>
      <c r="E850" s="9" t="n"/>
      <c r="F850" s="10" t="n"/>
    </row>
    <row r="851">
      <c r="A851" s="5" t="n"/>
      <c r="B851" s="6" t="n"/>
      <c r="C851" s="7" t="n"/>
      <c r="D851" s="7">
        <f>IFERROR(T(VLOOKUP($A851,Players!$A:$E,2,FALSE)),"")</f>
        <v/>
      </c>
      <c r="E851" s="6" t="n"/>
      <c r="F851" s="7" t="n"/>
    </row>
    <row r="852">
      <c r="A852" s="8" t="n"/>
      <c r="B852" s="9" t="n"/>
      <c r="C852" s="10" t="n"/>
      <c r="D852" s="10">
        <f>IFERROR(T(VLOOKUP($A852,Players!$A:$E,2,FALSE)),"")</f>
        <v/>
      </c>
      <c r="E852" s="9" t="n"/>
      <c r="F852" s="10" t="n"/>
    </row>
    <row r="853">
      <c r="A853" s="5" t="n"/>
      <c r="B853" s="6" t="n"/>
      <c r="C853" s="7" t="n"/>
      <c r="D853" s="7">
        <f>IFERROR(T(VLOOKUP($A853,Players!$A:$E,2,FALSE)),"")</f>
        <v/>
      </c>
      <c r="E853" s="6" t="n"/>
      <c r="F853" s="7" t="n"/>
    </row>
    <row r="854">
      <c r="A854" s="8" t="n"/>
      <c r="B854" s="9" t="n"/>
      <c r="C854" s="10" t="n"/>
      <c r="D854" s="10">
        <f>IFERROR(T(VLOOKUP($A854,Players!$A:$E,2,FALSE)),"")</f>
        <v/>
      </c>
      <c r="E854" s="9" t="n"/>
      <c r="F854" s="10" t="n"/>
    </row>
    <row r="855">
      <c r="A855" s="5" t="n"/>
      <c r="B855" s="6" t="n"/>
      <c r="C855" s="7" t="n"/>
      <c r="D855" s="7">
        <f>IFERROR(T(VLOOKUP($A855,Players!$A:$E,2,FALSE)),"")</f>
        <v/>
      </c>
      <c r="E855" s="6" t="n"/>
      <c r="F855" s="7" t="n"/>
    </row>
    <row r="856">
      <c r="A856" s="8" t="n"/>
      <c r="B856" s="9" t="n"/>
      <c r="C856" s="10" t="n"/>
      <c r="D856" s="10">
        <f>IFERROR(T(VLOOKUP($A856,Players!$A:$E,2,FALSE)),"")</f>
        <v/>
      </c>
      <c r="E856" s="9" t="n"/>
      <c r="F856" s="10" t="n"/>
    </row>
    <row r="857">
      <c r="A857" s="5" t="n"/>
      <c r="B857" s="6" t="n"/>
      <c r="C857" s="7" t="n"/>
      <c r="D857" s="7">
        <f>IFERROR(T(VLOOKUP($A857,Players!$A:$E,2,FALSE)),"")</f>
        <v/>
      </c>
      <c r="E857" s="6" t="n"/>
      <c r="F857" s="7" t="n"/>
    </row>
    <row r="858">
      <c r="A858" s="8" t="n"/>
      <c r="B858" s="9" t="n"/>
      <c r="C858" s="10" t="n"/>
      <c r="D858" s="10">
        <f>IFERROR(T(VLOOKUP($A858,Players!$A:$E,2,FALSE)),"")</f>
        <v/>
      </c>
      <c r="E858" s="9" t="n"/>
      <c r="F858" s="10" t="n"/>
    </row>
    <row r="859">
      <c r="A859" s="5" t="n"/>
      <c r="B859" s="6" t="n"/>
      <c r="C859" s="7" t="n"/>
      <c r="D859" s="7">
        <f>IFERROR(T(VLOOKUP($A859,Players!$A:$E,2,FALSE)),"")</f>
        <v/>
      </c>
      <c r="E859" s="6" t="n"/>
      <c r="F859" s="7" t="n"/>
    </row>
    <row r="860">
      <c r="A860" s="8" t="n"/>
      <c r="B860" s="9" t="n"/>
      <c r="C860" s="10" t="n"/>
      <c r="D860" s="10">
        <f>IFERROR(T(VLOOKUP($A860,Players!$A:$E,2,FALSE)),"")</f>
        <v/>
      </c>
      <c r="E860" s="9" t="n"/>
      <c r="F860" s="10" t="n"/>
    </row>
    <row r="861">
      <c r="A861" s="5" t="n"/>
      <c r="B861" s="6" t="n"/>
      <c r="C861" s="7" t="n"/>
      <c r="D861" s="7">
        <f>IFERROR(T(VLOOKUP($A861,Players!$A:$E,2,FALSE)),"")</f>
        <v/>
      </c>
      <c r="E861" s="6" t="n"/>
      <c r="F861" s="7" t="n"/>
    </row>
    <row r="862">
      <c r="A862" s="8" t="n"/>
      <c r="B862" s="9" t="n"/>
      <c r="C862" s="10" t="n"/>
      <c r="D862" s="10">
        <f>IFERROR(T(VLOOKUP($A862,Players!$A:$E,2,FALSE)),"")</f>
        <v/>
      </c>
      <c r="E862" s="9" t="n"/>
      <c r="F862" s="10" t="n"/>
    </row>
    <row r="863">
      <c r="A863" s="5" t="n"/>
      <c r="B863" s="6" t="n"/>
      <c r="C863" s="7" t="n"/>
      <c r="D863" s="7">
        <f>IFERROR(T(VLOOKUP($A863,Players!$A:$E,2,FALSE)),"")</f>
        <v/>
      </c>
      <c r="E863" s="6" t="n"/>
      <c r="F863" s="7" t="n"/>
    </row>
    <row r="864">
      <c r="A864" s="8" t="n"/>
      <c r="B864" s="9" t="n"/>
      <c r="C864" s="10" t="n"/>
      <c r="D864" s="10">
        <f>IFERROR(T(VLOOKUP($A864,Players!$A:$E,2,FALSE)),"")</f>
        <v/>
      </c>
      <c r="E864" s="9" t="n"/>
      <c r="F864" s="10" t="n"/>
    </row>
    <row r="865">
      <c r="A865" s="5" t="n"/>
      <c r="B865" s="6" t="n"/>
      <c r="C865" s="7" t="n"/>
      <c r="D865" s="7">
        <f>IFERROR(T(VLOOKUP($A865,Players!$A:$E,2,FALSE)),"")</f>
        <v/>
      </c>
      <c r="E865" s="6" t="n"/>
      <c r="F865" s="7" t="n"/>
    </row>
    <row r="866">
      <c r="A866" s="8" t="n"/>
      <c r="B866" s="9" t="n"/>
      <c r="C866" s="10" t="n"/>
      <c r="D866" s="10">
        <f>IFERROR(T(VLOOKUP($A866,Players!$A:$E,2,FALSE)),"")</f>
        <v/>
      </c>
      <c r="E866" s="9" t="n"/>
      <c r="F866" s="10" t="n"/>
    </row>
    <row r="867">
      <c r="A867" s="5" t="n"/>
      <c r="B867" s="6" t="n"/>
      <c r="C867" s="7" t="n"/>
      <c r="D867" s="7">
        <f>IFERROR(T(VLOOKUP($A867,Players!$A:$E,2,FALSE)),"")</f>
        <v/>
      </c>
      <c r="E867" s="6" t="n"/>
      <c r="F867" s="7" t="n"/>
    </row>
    <row r="868">
      <c r="A868" s="8" t="n"/>
      <c r="B868" s="9" t="n"/>
      <c r="C868" s="10" t="n"/>
      <c r="D868" s="10">
        <f>IFERROR(T(VLOOKUP($A868,Players!$A:$E,2,FALSE)),"")</f>
        <v/>
      </c>
      <c r="E868" s="9" t="n"/>
      <c r="F868" s="10" t="n"/>
    </row>
    <row r="869">
      <c r="A869" s="5" t="n"/>
      <c r="B869" s="6" t="n"/>
      <c r="C869" s="7" t="n"/>
      <c r="D869" s="7">
        <f>IFERROR(T(VLOOKUP($A869,Players!$A:$E,2,FALSE)),"")</f>
        <v/>
      </c>
      <c r="E869" s="6" t="n"/>
      <c r="F869" s="7" t="n"/>
    </row>
    <row r="870">
      <c r="A870" s="8" t="n"/>
      <c r="B870" s="9" t="n"/>
      <c r="C870" s="10" t="n"/>
      <c r="D870" s="10">
        <f>IFERROR(T(VLOOKUP($A870,Players!$A:$E,2,FALSE)),"")</f>
        <v/>
      </c>
      <c r="E870" s="9" t="n"/>
      <c r="F870" s="10" t="n"/>
    </row>
    <row r="871">
      <c r="A871" s="5" t="n"/>
      <c r="B871" s="6" t="n"/>
      <c r="C871" s="7" t="n"/>
      <c r="D871" s="7">
        <f>IFERROR(T(VLOOKUP($A871,Players!$A:$E,2,FALSE)),"")</f>
        <v/>
      </c>
      <c r="E871" s="6" t="n"/>
      <c r="F871" s="7" t="n"/>
    </row>
    <row r="872">
      <c r="A872" s="8" t="n"/>
      <c r="B872" s="9" t="n"/>
      <c r="C872" s="10" t="n"/>
      <c r="D872" s="10">
        <f>IFERROR(T(VLOOKUP($A872,Players!$A:$E,2,FALSE)),"")</f>
        <v/>
      </c>
      <c r="E872" s="9" t="n"/>
      <c r="F872" s="10" t="n"/>
    </row>
    <row r="873">
      <c r="A873" s="5" t="n"/>
      <c r="B873" s="6" t="n"/>
      <c r="C873" s="7" t="n"/>
      <c r="D873" s="7">
        <f>IFERROR(T(VLOOKUP($A873,Players!$A:$E,2,FALSE)),"")</f>
        <v/>
      </c>
      <c r="E873" s="6" t="n"/>
      <c r="F873" s="7" t="n"/>
    </row>
    <row r="874">
      <c r="A874" s="8" t="n"/>
      <c r="B874" s="9" t="n"/>
      <c r="C874" s="10" t="n"/>
      <c r="D874" s="10">
        <f>IFERROR(T(VLOOKUP($A874,Players!$A:$E,2,FALSE)),"")</f>
        <v/>
      </c>
      <c r="E874" s="9" t="n"/>
      <c r="F874" s="10" t="n"/>
    </row>
    <row r="875">
      <c r="A875" s="5" t="n"/>
      <c r="B875" s="6" t="n"/>
      <c r="C875" s="7" t="n"/>
      <c r="D875" s="7">
        <f>IFERROR(T(VLOOKUP($A875,Players!$A:$E,2,FALSE)),"")</f>
        <v/>
      </c>
      <c r="E875" s="6" t="n"/>
      <c r="F875" s="7" t="n"/>
    </row>
    <row r="876">
      <c r="A876" s="8" t="n"/>
      <c r="B876" s="9" t="n"/>
      <c r="C876" s="10" t="n"/>
      <c r="D876" s="10">
        <f>IFERROR(T(VLOOKUP($A876,Players!$A:$E,2,FALSE)),"")</f>
        <v/>
      </c>
      <c r="E876" s="9" t="n"/>
      <c r="F876" s="10" t="n"/>
    </row>
    <row r="877">
      <c r="A877" s="5" t="n"/>
      <c r="B877" s="6" t="n"/>
      <c r="C877" s="7" t="n"/>
      <c r="D877" s="7">
        <f>IFERROR(T(VLOOKUP($A877,Players!$A:$E,2,FALSE)),"")</f>
        <v/>
      </c>
      <c r="E877" s="6" t="n"/>
      <c r="F877" s="7" t="n"/>
    </row>
    <row r="878">
      <c r="A878" s="8" t="n"/>
      <c r="B878" s="9" t="n"/>
      <c r="C878" s="10" t="n"/>
      <c r="D878" s="10">
        <f>IFERROR(T(VLOOKUP($A878,Players!$A:$E,2,FALSE)),"")</f>
        <v/>
      </c>
      <c r="E878" s="9" t="n"/>
      <c r="F878" s="10" t="n"/>
    </row>
    <row r="879">
      <c r="A879" s="5" t="n"/>
      <c r="B879" s="6" t="n"/>
      <c r="C879" s="7" t="n"/>
      <c r="D879" s="7">
        <f>IFERROR(T(VLOOKUP($A879,Players!$A:$E,2,FALSE)),"")</f>
        <v/>
      </c>
      <c r="E879" s="6" t="n"/>
      <c r="F879" s="7" t="n"/>
    </row>
    <row r="880">
      <c r="A880" s="8" t="n"/>
      <c r="B880" s="9" t="n"/>
      <c r="C880" s="10" t="n"/>
      <c r="D880" s="10">
        <f>IFERROR(T(VLOOKUP($A880,Players!$A:$E,2,FALSE)),"")</f>
        <v/>
      </c>
      <c r="E880" s="9" t="n"/>
      <c r="F880" s="10" t="n"/>
    </row>
    <row r="881">
      <c r="A881" s="5" t="n"/>
      <c r="B881" s="6" t="n"/>
      <c r="C881" s="7" t="n"/>
      <c r="D881" s="7">
        <f>IFERROR(T(VLOOKUP($A881,Players!$A:$E,2,FALSE)),"")</f>
        <v/>
      </c>
      <c r="E881" s="6" t="n"/>
      <c r="F881" s="7" t="n"/>
    </row>
    <row r="882">
      <c r="A882" s="8" t="n"/>
      <c r="B882" s="9" t="n"/>
      <c r="C882" s="10" t="n"/>
      <c r="D882" s="10">
        <f>IFERROR(T(VLOOKUP($A882,Players!$A:$E,2,FALSE)),"")</f>
        <v/>
      </c>
      <c r="E882" s="9" t="n"/>
      <c r="F882" s="10" t="n"/>
    </row>
    <row r="883">
      <c r="A883" s="5" t="n"/>
      <c r="B883" s="6" t="n"/>
      <c r="C883" s="7" t="n"/>
      <c r="D883" s="7">
        <f>IFERROR(T(VLOOKUP($A883,Players!$A:$E,2,FALSE)),"")</f>
        <v/>
      </c>
      <c r="E883" s="6" t="n"/>
      <c r="F883" s="7" t="n"/>
    </row>
    <row r="884">
      <c r="A884" s="8" t="n"/>
      <c r="B884" s="9" t="n"/>
      <c r="C884" s="10" t="n"/>
      <c r="D884" s="10">
        <f>IFERROR(T(VLOOKUP($A884,Players!$A:$E,2,FALSE)),"")</f>
        <v/>
      </c>
      <c r="E884" s="9" t="n"/>
      <c r="F884" s="10" t="n"/>
    </row>
    <row r="885">
      <c r="A885" s="5" t="n"/>
      <c r="B885" s="6" t="n"/>
      <c r="C885" s="7" t="n"/>
      <c r="D885" s="7">
        <f>IFERROR(T(VLOOKUP($A885,Players!$A:$E,2,FALSE)),"")</f>
        <v/>
      </c>
      <c r="E885" s="6" t="n"/>
      <c r="F885" s="7" t="n"/>
    </row>
    <row r="886">
      <c r="A886" s="8" t="n"/>
      <c r="B886" s="9" t="n"/>
      <c r="C886" s="10" t="n"/>
      <c r="D886" s="10">
        <f>IFERROR(T(VLOOKUP($A886,Players!$A:$E,2,FALSE)),"")</f>
        <v/>
      </c>
      <c r="E886" s="9" t="n"/>
      <c r="F886" s="10" t="n"/>
    </row>
    <row r="887">
      <c r="A887" s="5" t="n"/>
      <c r="B887" s="6" t="n"/>
      <c r="C887" s="7" t="n"/>
      <c r="D887" s="7">
        <f>IFERROR(T(VLOOKUP($A887,Players!$A:$E,2,FALSE)),"")</f>
        <v/>
      </c>
      <c r="E887" s="6" t="n"/>
      <c r="F887" s="7" t="n"/>
    </row>
    <row r="888">
      <c r="A888" s="8" t="n"/>
      <c r="B888" s="9" t="n"/>
      <c r="C888" s="10" t="n"/>
      <c r="D888" s="10">
        <f>IFERROR(T(VLOOKUP($A888,Players!$A:$E,2,FALSE)),"")</f>
        <v/>
      </c>
      <c r="E888" s="9" t="n"/>
      <c r="F888" s="10" t="n"/>
    </row>
    <row r="889">
      <c r="A889" s="5" t="n"/>
      <c r="B889" s="6" t="n"/>
      <c r="C889" s="7" t="n"/>
      <c r="D889" s="7">
        <f>IFERROR(T(VLOOKUP($A889,Players!$A:$E,2,FALSE)),"")</f>
        <v/>
      </c>
      <c r="E889" s="6" t="n"/>
      <c r="F889" s="7" t="n"/>
    </row>
    <row r="890">
      <c r="A890" s="8" t="n"/>
      <c r="B890" s="9" t="n"/>
      <c r="C890" s="10" t="n"/>
      <c r="D890" s="10">
        <f>IFERROR(T(VLOOKUP($A890,Players!$A:$E,2,FALSE)),"")</f>
        <v/>
      </c>
      <c r="E890" s="9" t="n"/>
      <c r="F890" s="10" t="n"/>
    </row>
    <row r="891">
      <c r="A891" s="5" t="n"/>
      <c r="B891" s="6" t="n"/>
      <c r="C891" s="7" t="n"/>
      <c r="D891" s="7">
        <f>IFERROR(T(VLOOKUP($A891,Players!$A:$E,2,FALSE)),"")</f>
        <v/>
      </c>
      <c r="E891" s="6" t="n"/>
      <c r="F891" s="7" t="n"/>
    </row>
    <row r="892">
      <c r="A892" s="8" t="n"/>
      <c r="B892" s="9" t="n"/>
      <c r="C892" s="10" t="n"/>
      <c r="D892" s="10">
        <f>IFERROR(T(VLOOKUP($A892,Players!$A:$E,2,FALSE)),"")</f>
        <v/>
      </c>
      <c r="E892" s="9" t="n"/>
      <c r="F892" s="10" t="n"/>
    </row>
    <row r="893">
      <c r="A893" s="5" t="n"/>
      <c r="B893" s="6" t="n"/>
      <c r="C893" s="7" t="n"/>
      <c r="D893" s="7">
        <f>IFERROR(T(VLOOKUP($A893,Players!$A:$E,2,FALSE)),"")</f>
        <v/>
      </c>
      <c r="E893" s="6" t="n"/>
      <c r="F893" s="7" t="n"/>
    </row>
    <row r="894">
      <c r="A894" s="8" t="n"/>
      <c r="B894" s="9" t="n"/>
      <c r="C894" s="10" t="n"/>
      <c r="D894" s="10">
        <f>IFERROR(T(VLOOKUP($A894,Players!$A:$E,2,FALSE)),"")</f>
        <v/>
      </c>
      <c r="E894" s="9" t="n"/>
      <c r="F894" s="10" t="n"/>
    </row>
    <row r="895">
      <c r="A895" s="5" t="n"/>
      <c r="B895" s="6" t="n"/>
      <c r="C895" s="7" t="n"/>
      <c r="D895" s="7">
        <f>IFERROR(T(VLOOKUP($A895,Players!$A:$E,2,FALSE)),"")</f>
        <v/>
      </c>
      <c r="E895" s="6" t="n"/>
      <c r="F895" s="7" t="n"/>
    </row>
    <row r="896">
      <c r="A896" s="8" t="n"/>
      <c r="B896" s="9" t="n"/>
      <c r="C896" s="10" t="n"/>
      <c r="D896" s="10">
        <f>IFERROR(T(VLOOKUP($A896,Players!$A:$E,2,FALSE)),"")</f>
        <v/>
      </c>
      <c r="E896" s="9" t="n"/>
      <c r="F896" s="10" t="n"/>
    </row>
    <row r="897">
      <c r="A897" s="5" t="n"/>
      <c r="B897" s="6" t="n"/>
      <c r="C897" s="7" t="n"/>
      <c r="D897" s="7">
        <f>IFERROR(T(VLOOKUP($A897,Players!$A:$E,2,FALSE)),"")</f>
        <v/>
      </c>
      <c r="E897" s="6" t="n"/>
      <c r="F897" s="7" t="n"/>
    </row>
    <row r="898">
      <c r="A898" s="8" t="n"/>
      <c r="B898" s="9" t="n"/>
      <c r="C898" s="10" t="n"/>
      <c r="D898" s="10">
        <f>IFERROR(T(VLOOKUP($A898,Players!$A:$E,2,FALSE)),"")</f>
        <v/>
      </c>
      <c r="E898" s="9" t="n"/>
      <c r="F898" s="10" t="n"/>
    </row>
    <row r="899">
      <c r="A899" s="5" t="n"/>
      <c r="B899" s="6" t="n"/>
      <c r="C899" s="7" t="n"/>
      <c r="D899" s="7">
        <f>IFERROR(T(VLOOKUP($A899,Players!$A:$E,2,FALSE)),"")</f>
        <v/>
      </c>
      <c r="E899" s="6" t="n"/>
      <c r="F899" s="7" t="n"/>
    </row>
    <row r="900">
      <c r="A900" s="8" t="n"/>
      <c r="B900" s="9" t="n"/>
      <c r="C900" s="10" t="n"/>
      <c r="D900" s="10">
        <f>IFERROR(T(VLOOKUP($A900,Players!$A:$E,2,FALSE)),"")</f>
        <v/>
      </c>
      <c r="E900" s="9" t="n"/>
      <c r="F900" s="10" t="n"/>
    </row>
    <row r="901">
      <c r="A901" s="5" t="n"/>
      <c r="B901" s="6" t="n"/>
      <c r="C901" s="7" t="n"/>
      <c r="D901" s="7">
        <f>IFERROR(T(VLOOKUP($A901,Players!$A:$E,2,FALSE)),"")</f>
        <v/>
      </c>
      <c r="E901" s="6" t="n"/>
      <c r="F901" s="7" t="n"/>
    </row>
    <row r="902">
      <c r="A902" s="8" t="n"/>
      <c r="B902" s="9" t="n"/>
      <c r="C902" s="10" t="n"/>
      <c r="D902" s="10">
        <f>IFERROR(T(VLOOKUP($A902,Players!$A:$E,2,FALSE)),"")</f>
        <v/>
      </c>
      <c r="E902" s="9" t="n"/>
      <c r="F902" s="10" t="n"/>
    </row>
    <row r="903">
      <c r="A903" s="5" t="n"/>
      <c r="B903" s="6" t="n"/>
      <c r="C903" s="7" t="n"/>
      <c r="D903" s="7">
        <f>IFERROR(T(VLOOKUP($A903,Players!$A:$E,2,FALSE)),"")</f>
        <v/>
      </c>
      <c r="E903" s="6" t="n"/>
      <c r="F903" s="7" t="n"/>
    </row>
    <row r="904">
      <c r="A904" s="8" t="n"/>
      <c r="B904" s="9" t="n"/>
      <c r="C904" s="10" t="n"/>
      <c r="D904" s="10">
        <f>IFERROR(T(VLOOKUP($A904,Players!$A:$E,2,FALSE)),"")</f>
        <v/>
      </c>
      <c r="E904" s="9" t="n"/>
      <c r="F904" s="10" t="n"/>
    </row>
    <row r="905">
      <c r="A905" s="5" t="n"/>
      <c r="B905" s="6" t="n"/>
      <c r="C905" s="7" t="n"/>
      <c r="D905" s="7">
        <f>IFERROR(T(VLOOKUP($A905,Players!$A:$E,2,FALSE)),"")</f>
        <v/>
      </c>
      <c r="E905" s="6" t="n"/>
      <c r="F905" s="7" t="n"/>
    </row>
    <row r="906">
      <c r="A906" s="8" t="n"/>
      <c r="B906" s="9" t="n"/>
      <c r="C906" s="10" t="n"/>
      <c r="D906" s="10">
        <f>IFERROR(T(VLOOKUP($A906,Players!$A:$E,2,FALSE)),"")</f>
        <v/>
      </c>
      <c r="E906" s="9" t="n"/>
      <c r="F906" s="10" t="n"/>
    </row>
    <row r="907">
      <c r="A907" s="5" t="n"/>
      <c r="B907" s="6" t="n"/>
      <c r="C907" s="7" t="n"/>
      <c r="D907" s="7">
        <f>IFERROR(T(VLOOKUP($A907,Players!$A:$E,2,FALSE)),"")</f>
        <v/>
      </c>
      <c r="E907" s="6" t="n"/>
      <c r="F907" s="7" t="n"/>
    </row>
    <row r="908">
      <c r="A908" s="8" t="n"/>
      <c r="B908" s="9" t="n"/>
      <c r="C908" s="10" t="n"/>
      <c r="D908" s="10">
        <f>IFERROR(T(VLOOKUP($A908,Players!$A:$E,2,FALSE)),"")</f>
        <v/>
      </c>
      <c r="E908" s="9" t="n"/>
      <c r="F908" s="10" t="n"/>
    </row>
    <row r="909">
      <c r="A909" s="5" t="n"/>
      <c r="B909" s="6" t="n"/>
      <c r="C909" s="7" t="n"/>
      <c r="D909" s="7">
        <f>IFERROR(T(VLOOKUP($A909,Players!$A:$E,2,FALSE)),"")</f>
        <v/>
      </c>
      <c r="E909" s="6" t="n"/>
      <c r="F909" s="7" t="n"/>
    </row>
    <row r="910">
      <c r="A910" s="8" t="n"/>
      <c r="B910" s="9" t="n"/>
      <c r="C910" s="10" t="n"/>
      <c r="D910" s="10">
        <f>IFERROR(T(VLOOKUP($A910,Players!$A:$E,2,FALSE)),"")</f>
        <v/>
      </c>
      <c r="E910" s="9" t="n"/>
      <c r="F910" s="10" t="n"/>
    </row>
    <row r="911">
      <c r="A911" s="5" t="n"/>
      <c r="B911" s="6" t="n"/>
      <c r="C911" s="7" t="n"/>
      <c r="D911" s="7">
        <f>IFERROR(T(VLOOKUP($A911,Players!$A:$E,2,FALSE)),"")</f>
        <v/>
      </c>
      <c r="E911" s="6" t="n"/>
      <c r="F911" s="7" t="n"/>
    </row>
    <row r="912">
      <c r="A912" s="8" t="n"/>
      <c r="B912" s="9" t="n"/>
      <c r="C912" s="10" t="n"/>
      <c r="D912" s="10">
        <f>IFERROR(T(VLOOKUP($A912,Players!$A:$E,2,FALSE)),"")</f>
        <v/>
      </c>
      <c r="E912" s="9" t="n"/>
      <c r="F912" s="10" t="n"/>
    </row>
    <row r="913">
      <c r="A913" s="5" t="n"/>
      <c r="B913" s="6" t="n"/>
      <c r="C913" s="7" t="n"/>
      <c r="D913" s="7">
        <f>IFERROR(T(VLOOKUP($A913,Players!$A:$E,2,FALSE)),"")</f>
        <v/>
      </c>
      <c r="E913" s="6" t="n"/>
      <c r="F913" s="7" t="n"/>
    </row>
    <row r="914">
      <c r="A914" s="8" t="n"/>
      <c r="B914" s="9" t="n"/>
      <c r="C914" s="10" t="n"/>
      <c r="D914" s="10">
        <f>IFERROR(T(VLOOKUP($A914,Players!$A:$E,2,FALSE)),"")</f>
        <v/>
      </c>
      <c r="E914" s="9" t="n"/>
      <c r="F914" s="10" t="n"/>
    </row>
    <row r="915">
      <c r="A915" s="5" t="n"/>
      <c r="B915" s="6" t="n"/>
      <c r="C915" s="7" t="n"/>
      <c r="D915" s="7">
        <f>IFERROR(T(VLOOKUP($A915,Players!$A:$E,2,FALSE)),"")</f>
        <v/>
      </c>
      <c r="E915" s="6" t="n"/>
      <c r="F915" s="7" t="n"/>
    </row>
    <row r="916">
      <c r="A916" s="8" t="n"/>
      <c r="B916" s="9" t="n"/>
      <c r="C916" s="10" t="n"/>
      <c r="D916" s="10">
        <f>IFERROR(T(VLOOKUP($A916,Players!$A:$E,2,FALSE)),"")</f>
        <v/>
      </c>
      <c r="E916" s="9" t="n"/>
      <c r="F916" s="10" t="n"/>
    </row>
    <row r="917">
      <c r="A917" s="5" t="n"/>
      <c r="B917" s="6" t="n"/>
      <c r="C917" s="7" t="n"/>
      <c r="D917" s="7">
        <f>IFERROR(T(VLOOKUP($A917,Players!$A:$E,2,FALSE)),"")</f>
        <v/>
      </c>
      <c r="E917" s="6" t="n"/>
      <c r="F917" s="7" t="n"/>
    </row>
    <row r="918">
      <c r="A918" s="8" t="n"/>
      <c r="B918" s="9" t="n"/>
      <c r="C918" s="10" t="n"/>
      <c r="D918" s="10">
        <f>IFERROR(T(VLOOKUP($A918,Players!$A:$E,2,FALSE)),"")</f>
        <v/>
      </c>
      <c r="E918" s="9" t="n"/>
      <c r="F918" s="10" t="n"/>
    </row>
    <row r="919">
      <c r="A919" s="5" t="n"/>
      <c r="B919" s="6" t="n"/>
      <c r="C919" s="7" t="n"/>
      <c r="D919" s="7">
        <f>IFERROR(T(VLOOKUP($A919,Players!$A:$E,2,FALSE)),"")</f>
        <v/>
      </c>
      <c r="E919" s="6" t="n"/>
      <c r="F919" s="7" t="n"/>
    </row>
    <row r="920">
      <c r="A920" s="8" t="n"/>
      <c r="B920" s="9" t="n"/>
      <c r="C920" s="10" t="n"/>
      <c r="D920" s="10">
        <f>IFERROR(T(VLOOKUP($A920,Players!$A:$E,2,FALSE)),"")</f>
        <v/>
      </c>
      <c r="E920" s="9" t="n"/>
      <c r="F920" s="10" t="n"/>
    </row>
    <row r="921">
      <c r="A921" s="5" t="n"/>
      <c r="B921" s="6" t="n"/>
      <c r="C921" s="7" t="n"/>
      <c r="D921" s="7">
        <f>IFERROR(T(VLOOKUP($A921,Players!$A:$E,2,FALSE)),"")</f>
        <v/>
      </c>
      <c r="E921" s="6" t="n"/>
      <c r="F921" s="7" t="n"/>
    </row>
    <row r="922">
      <c r="A922" s="8" t="n"/>
      <c r="B922" s="9" t="n"/>
      <c r="C922" s="10" t="n"/>
      <c r="D922" s="10">
        <f>IFERROR(T(VLOOKUP($A922,Players!$A:$E,2,FALSE)),"")</f>
        <v/>
      </c>
      <c r="E922" s="9" t="n"/>
      <c r="F922" s="10" t="n"/>
    </row>
    <row r="923">
      <c r="A923" s="5" t="n"/>
      <c r="B923" s="6" t="n"/>
      <c r="C923" s="7" t="n"/>
      <c r="D923" s="7">
        <f>IFERROR(T(VLOOKUP($A923,Players!$A:$E,2,FALSE)),"")</f>
        <v/>
      </c>
      <c r="E923" s="6" t="n"/>
      <c r="F923" s="7" t="n"/>
    </row>
    <row r="924">
      <c r="A924" s="8" t="n"/>
      <c r="B924" s="9" t="n"/>
      <c r="C924" s="10" t="n"/>
      <c r="D924" s="10">
        <f>IFERROR(T(VLOOKUP($A924,Players!$A:$E,2,FALSE)),"")</f>
        <v/>
      </c>
      <c r="E924" s="9" t="n"/>
      <c r="F924" s="10" t="n"/>
    </row>
    <row r="925">
      <c r="A925" s="5" t="n"/>
      <c r="B925" s="6" t="n"/>
      <c r="C925" s="7" t="n"/>
      <c r="D925" s="7">
        <f>IFERROR(T(VLOOKUP($A925,Players!$A:$E,2,FALSE)),"")</f>
        <v/>
      </c>
      <c r="E925" s="6" t="n"/>
      <c r="F925" s="7" t="n"/>
    </row>
    <row r="926">
      <c r="A926" s="8" t="n"/>
      <c r="B926" s="9" t="n"/>
      <c r="C926" s="10" t="n"/>
      <c r="D926" s="10">
        <f>IFERROR(T(VLOOKUP($A926,Players!$A:$E,2,FALSE)),"")</f>
        <v/>
      </c>
      <c r="E926" s="9" t="n"/>
      <c r="F926" s="10" t="n"/>
    </row>
    <row r="927">
      <c r="A927" s="5" t="n"/>
      <c r="B927" s="6" t="n"/>
      <c r="C927" s="7" t="n"/>
      <c r="D927" s="7">
        <f>IFERROR(T(VLOOKUP($A927,Players!$A:$E,2,FALSE)),"")</f>
        <v/>
      </c>
      <c r="E927" s="6" t="n"/>
      <c r="F927" s="7" t="n"/>
    </row>
    <row r="928">
      <c r="A928" s="8" t="n"/>
      <c r="B928" s="9" t="n"/>
      <c r="C928" s="10" t="n"/>
      <c r="D928" s="10">
        <f>IFERROR(T(VLOOKUP($A928,Players!$A:$E,2,FALSE)),"")</f>
        <v/>
      </c>
      <c r="E928" s="9" t="n"/>
      <c r="F928" s="10" t="n"/>
    </row>
    <row r="929">
      <c r="A929" s="5" t="n"/>
      <c r="B929" s="6" t="n"/>
      <c r="C929" s="7" t="n"/>
      <c r="D929" s="7">
        <f>IFERROR(T(VLOOKUP($A929,Players!$A:$E,2,FALSE)),"")</f>
        <v/>
      </c>
      <c r="E929" s="6" t="n"/>
      <c r="F929" s="7" t="n"/>
    </row>
    <row r="930">
      <c r="A930" s="8" t="n"/>
      <c r="B930" s="9" t="n"/>
      <c r="C930" s="10" t="n"/>
      <c r="D930" s="10">
        <f>IFERROR(T(VLOOKUP($A930,Players!$A:$E,2,FALSE)),"")</f>
        <v/>
      </c>
      <c r="E930" s="9" t="n"/>
      <c r="F930" s="10" t="n"/>
    </row>
    <row r="931">
      <c r="A931" s="5" t="n"/>
      <c r="B931" s="6" t="n"/>
      <c r="C931" s="7" t="n"/>
      <c r="D931" s="7">
        <f>IFERROR(T(VLOOKUP($A931,Players!$A:$E,2,FALSE)),"")</f>
        <v/>
      </c>
      <c r="E931" s="6" t="n"/>
      <c r="F931" s="7" t="n"/>
    </row>
    <row r="932">
      <c r="A932" s="8" t="n"/>
      <c r="B932" s="9" t="n"/>
      <c r="C932" s="10" t="n"/>
      <c r="D932" s="10">
        <f>IFERROR(T(VLOOKUP($A932,Players!$A:$E,2,FALSE)),"")</f>
        <v/>
      </c>
      <c r="E932" s="9" t="n"/>
      <c r="F932" s="10" t="n"/>
    </row>
    <row r="933">
      <c r="A933" s="5" t="n"/>
      <c r="B933" s="6" t="n"/>
      <c r="C933" s="7" t="n"/>
      <c r="D933" s="7">
        <f>IFERROR(T(VLOOKUP($A933,Players!$A:$E,2,FALSE)),"")</f>
        <v/>
      </c>
      <c r="E933" s="6" t="n"/>
      <c r="F933" s="7" t="n"/>
    </row>
    <row r="934">
      <c r="A934" s="8" t="n"/>
      <c r="B934" s="9" t="n"/>
      <c r="C934" s="10" t="n"/>
      <c r="D934" s="10">
        <f>IFERROR(T(VLOOKUP($A934,Players!$A:$E,2,FALSE)),"")</f>
        <v/>
      </c>
      <c r="E934" s="9" t="n"/>
      <c r="F934" s="10" t="n"/>
    </row>
    <row r="935">
      <c r="A935" s="5" t="n"/>
      <c r="B935" s="6" t="n"/>
      <c r="C935" s="7" t="n"/>
      <c r="D935" s="7">
        <f>IFERROR(T(VLOOKUP($A935,Players!$A:$E,2,FALSE)),"")</f>
        <v/>
      </c>
      <c r="E935" s="6" t="n"/>
      <c r="F935" s="7" t="n"/>
    </row>
    <row r="936">
      <c r="A936" s="8" t="n"/>
      <c r="B936" s="9" t="n"/>
      <c r="C936" s="10" t="n"/>
      <c r="D936" s="10">
        <f>IFERROR(T(VLOOKUP($A936,Players!$A:$E,2,FALSE)),"")</f>
        <v/>
      </c>
      <c r="E936" s="9" t="n"/>
      <c r="F936" s="10" t="n"/>
    </row>
    <row r="937">
      <c r="A937" s="5" t="n"/>
      <c r="B937" s="6" t="n"/>
      <c r="C937" s="7" t="n"/>
      <c r="D937" s="7">
        <f>IFERROR(T(VLOOKUP($A937,Players!$A:$E,2,FALSE)),"")</f>
        <v/>
      </c>
      <c r="E937" s="6" t="n"/>
      <c r="F937" s="7" t="n"/>
    </row>
    <row r="938">
      <c r="A938" s="8" t="n"/>
      <c r="B938" s="9" t="n"/>
      <c r="C938" s="10" t="n"/>
      <c r="D938" s="10">
        <f>IFERROR(T(VLOOKUP($A938,Players!$A:$E,2,FALSE)),"")</f>
        <v/>
      </c>
      <c r="E938" s="9" t="n"/>
      <c r="F938" s="10" t="n"/>
    </row>
    <row r="939">
      <c r="A939" s="5" t="n"/>
      <c r="B939" s="6" t="n"/>
      <c r="C939" s="7" t="n"/>
      <c r="D939" s="7">
        <f>IFERROR(T(VLOOKUP($A939,Players!$A:$E,2,FALSE)),"")</f>
        <v/>
      </c>
      <c r="E939" s="6" t="n"/>
      <c r="F939" s="7" t="n"/>
    </row>
    <row r="940">
      <c r="A940" s="8" t="n"/>
      <c r="B940" s="9" t="n"/>
      <c r="C940" s="10" t="n"/>
      <c r="D940" s="10">
        <f>IFERROR(T(VLOOKUP($A940,Players!$A:$E,2,FALSE)),"")</f>
        <v/>
      </c>
      <c r="E940" s="9" t="n"/>
      <c r="F940" s="10" t="n"/>
    </row>
    <row r="941">
      <c r="A941" s="5" t="n"/>
      <c r="B941" s="6" t="n"/>
      <c r="C941" s="7" t="n"/>
      <c r="D941" s="7">
        <f>IFERROR(T(VLOOKUP($A941,Players!$A:$E,2,FALSE)),"")</f>
        <v/>
      </c>
      <c r="E941" s="6" t="n"/>
      <c r="F941" s="7" t="n"/>
    </row>
    <row r="942">
      <c r="A942" s="8" t="n"/>
      <c r="B942" s="9" t="n"/>
      <c r="C942" s="10" t="n"/>
      <c r="D942" s="10">
        <f>IFERROR(T(VLOOKUP($A942,Players!$A:$E,2,FALSE)),"")</f>
        <v/>
      </c>
      <c r="E942" s="9" t="n"/>
      <c r="F942" s="10" t="n"/>
    </row>
    <row r="943">
      <c r="A943" s="5" t="n"/>
      <c r="B943" s="6" t="n"/>
      <c r="C943" s="7" t="n"/>
      <c r="D943" s="7">
        <f>IFERROR(T(VLOOKUP($A943,Players!$A:$E,2,FALSE)),"")</f>
        <v/>
      </c>
      <c r="E943" s="6" t="n"/>
      <c r="F943" s="7" t="n"/>
    </row>
    <row r="944">
      <c r="A944" s="8" t="n"/>
      <c r="B944" s="9" t="n"/>
      <c r="C944" s="10" t="n"/>
      <c r="D944" s="10">
        <f>IFERROR(T(VLOOKUP($A944,Players!$A:$E,2,FALSE)),"")</f>
        <v/>
      </c>
      <c r="E944" s="9" t="n"/>
      <c r="F944" s="10" t="n"/>
    </row>
    <row r="945">
      <c r="A945" s="5" t="n"/>
      <c r="B945" s="6" t="n"/>
      <c r="C945" s="7" t="n"/>
      <c r="D945" s="7">
        <f>IFERROR(T(VLOOKUP($A945,Players!$A:$E,2,FALSE)),"")</f>
        <v/>
      </c>
      <c r="E945" s="6" t="n"/>
      <c r="F945" s="7" t="n"/>
    </row>
    <row r="946">
      <c r="A946" s="8" t="n"/>
      <c r="B946" s="9" t="n"/>
      <c r="C946" s="10" t="n"/>
      <c r="D946" s="10">
        <f>IFERROR(T(VLOOKUP($A946,Players!$A:$E,2,FALSE)),"")</f>
        <v/>
      </c>
      <c r="E946" s="9" t="n"/>
      <c r="F946" s="10" t="n"/>
    </row>
    <row r="947">
      <c r="A947" s="5" t="n"/>
      <c r="B947" s="6" t="n"/>
      <c r="C947" s="7" t="n"/>
      <c r="D947" s="7">
        <f>IFERROR(T(VLOOKUP($A947,Players!$A:$E,2,FALSE)),"")</f>
        <v/>
      </c>
      <c r="E947" s="6" t="n"/>
      <c r="F947" s="7" t="n"/>
    </row>
    <row r="948">
      <c r="A948" s="8" t="n"/>
      <c r="B948" s="9" t="n"/>
      <c r="C948" s="10" t="n"/>
      <c r="D948" s="10">
        <f>IFERROR(T(VLOOKUP($A948,Players!$A:$E,2,FALSE)),"")</f>
        <v/>
      </c>
      <c r="E948" s="9" t="n"/>
      <c r="F948" s="10" t="n"/>
    </row>
    <row r="949">
      <c r="A949" s="5" t="n"/>
      <c r="B949" s="6" t="n"/>
      <c r="C949" s="7" t="n"/>
      <c r="D949" s="7">
        <f>IFERROR(T(VLOOKUP($A949,Players!$A:$E,2,FALSE)),"")</f>
        <v/>
      </c>
      <c r="E949" s="6" t="n"/>
      <c r="F949" s="7" t="n"/>
    </row>
    <row r="950">
      <c r="A950" s="8" t="n"/>
      <c r="B950" s="9" t="n"/>
      <c r="C950" s="10" t="n"/>
      <c r="D950" s="10">
        <f>IFERROR(T(VLOOKUP($A950,Players!$A:$E,2,FALSE)),"")</f>
        <v/>
      </c>
      <c r="E950" s="9" t="n"/>
      <c r="F950" s="10" t="n"/>
    </row>
    <row r="951">
      <c r="A951" s="5" t="n"/>
      <c r="B951" s="6" t="n"/>
      <c r="C951" s="7" t="n"/>
      <c r="D951" s="7">
        <f>IFERROR(T(VLOOKUP($A951,Players!$A:$E,2,FALSE)),"")</f>
        <v/>
      </c>
      <c r="E951" s="6" t="n"/>
      <c r="F951" s="7" t="n"/>
    </row>
    <row r="952">
      <c r="A952" s="8" t="n"/>
      <c r="B952" s="9" t="n"/>
      <c r="C952" s="10" t="n"/>
      <c r="D952" s="10">
        <f>IFERROR(T(VLOOKUP($A952,Players!$A:$E,2,FALSE)),"")</f>
        <v/>
      </c>
      <c r="E952" s="9" t="n"/>
      <c r="F952" s="10" t="n"/>
    </row>
    <row r="953">
      <c r="A953" s="5" t="n"/>
      <c r="B953" s="6" t="n"/>
      <c r="C953" s="7" t="n"/>
      <c r="D953" s="7">
        <f>IFERROR(T(VLOOKUP($A953,Players!$A:$E,2,FALSE)),"")</f>
        <v/>
      </c>
      <c r="E953" s="6" t="n"/>
      <c r="F953" s="7" t="n"/>
    </row>
    <row r="954">
      <c r="A954" s="8" t="n"/>
      <c r="B954" s="9" t="n"/>
      <c r="C954" s="10" t="n"/>
      <c r="D954" s="10">
        <f>IFERROR(T(VLOOKUP($A954,Players!$A:$E,2,FALSE)),"")</f>
        <v/>
      </c>
      <c r="E954" s="9" t="n"/>
      <c r="F954" s="10" t="n"/>
    </row>
    <row r="955">
      <c r="A955" s="5" t="n"/>
      <c r="B955" s="6" t="n"/>
      <c r="C955" s="7" t="n"/>
      <c r="D955" s="7">
        <f>IFERROR(T(VLOOKUP($A955,Players!$A:$E,2,FALSE)),"")</f>
        <v/>
      </c>
      <c r="E955" s="6" t="n"/>
      <c r="F955" s="7" t="n"/>
    </row>
    <row r="956">
      <c r="A956" s="8" t="n"/>
      <c r="B956" s="9" t="n"/>
      <c r="C956" s="10" t="n"/>
      <c r="D956" s="10">
        <f>IFERROR(T(VLOOKUP($A956,Players!$A:$E,2,FALSE)),"")</f>
        <v/>
      </c>
      <c r="E956" s="9" t="n"/>
      <c r="F956" s="10" t="n"/>
    </row>
    <row r="957">
      <c r="A957" s="5" t="n"/>
      <c r="B957" s="6" t="n"/>
      <c r="C957" s="7" t="n"/>
      <c r="D957" s="7">
        <f>IFERROR(T(VLOOKUP($A957,Players!$A:$E,2,FALSE)),"")</f>
        <v/>
      </c>
      <c r="E957" s="6" t="n"/>
      <c r="F957" s="7" t="n"/>
    </row>
    <row r="958">
      <c r="A958" s="8" t="n"/>
      <c r="B958" s="9" t="n"/>
      <c r="C958" s="10" t="n"/>
      <c r="D958" s="10">
        <f>IFERROR(T(VLOOKUP($A958,Players!$A:$E,2,FALSE)),"")</f>
        <v/>
      </c>
      <c r="E958" s="9" t="n"/>
      <c r="F958" s="10" t="n"/>
    </row>
    <row r="959">
      <c r="A959" s="5" t="n"/>
      <c r="B959" s="6" t="n"/>
      <c r="C959" s="7" t="n"/>
      <c r="D959" s="7">
        <f>IFERROR(T(VLOOKUP($A959,Players!$A:$E,2,FALSE)),"")</f>
        <v/>
      </c>
      <c r="E959" s="6" t="n"/>
      <c r="F959" s="7" t="n"/>
    </row>
    <row r="960">
      <c r="A960" s="8" t="n"/>
      <c r="B960" s="9" t="n"/>
      <c r="C960" s="10" t="n"/>
      <c r="D960" s="10">
        <f>IFERROR(T(VLOOKUP($A960,Players!$A:$E,2,FALSE)),"")</f>
        <v/>
      </c>
      <c r="E960" s="9" t="n"/>
      <c r="F960" s="10" t="n"/>
    </row>
    <row r="961">
      <c r="A961" s="5" t="n"/>
      <c r="B961" s="6" t="n"/>
      <c r="C961" s="7" t="n"/>
      <c r="D961" s="7">
        <f>IFERROR(T(VLOOKUP($A961,Players!$A:$E,2,FALSE)),"")</f>
        <v/>
      </c>
      <c r="E961" s="6" t="n"/>
      <c r="F961" s="7" t="n"/>
    </row>
    <row r="962">
      <c r="A962" s="8" t="n"/>
      <c r="B962" s="9" t="n"/>
      <c r="C962" s="10" t="n"/>
      <c r="D962" s="10">
        <f>IFERROR(T(VLOOKUP($A962,Players!$A:$E,2,FALSE)),"")</f>
        <v/>
      </c>
      <c r="E962" s="9" t="n"/>
      <c r="F962" s="10" t="n"/>
    </row>
    <row r="963">
      <c r="A963" s="5" t="n"/>
      <c r="B963" s="6" t="n"/>
      <c r="C963" s="7" t="n"/>
      <c r="D963" s="7">
        <f>IFERROR(T(VLOOKUP($A963,Players!$A:$E,2,FALSE)),"")</f>
        <v/>
      </c>
      <c r="E963" s="6" t="n"/>
      <c r="F963" s="7" t="n"/>
    </row>
    <row r="964">
      <c r="A964" s="8" t="n"/>
      <c r="B964" s="9" t="n"/>
      <c r="C964" s="10" t="n"/>
      <c r="D964" s="10">
        <f>IFERROR(T(VLOOKUP($A964,Players!$A:$E,2,FALSE)),"")</f>
        <v/>
      </c>
      <c r="E964" s="9" t="n"/>
      <c r="F964" s="10" t="n"/>
    </row>
    <row r="965">
      <c r="A965" s="5" t="n"/>
      <c r="B965" s="6" t="n"/>
      <c r="C965" s="7" t="n"/>
      <c r="D965" s="7">
        <f>IFERROR(T(VLOOKUP($A965,Players!$A:$E,2,FALSE)),"")</f>
        <v/>
      </c>
      <c r="E965" s="6" t="n"/>
      <c r="F965" s="7" t="n"/>
    </row>
    <row r="966">
      <c r="A966" s="8" t="n"/>
      <c r="B966" s="9" t="n"/>
      <c r="C966" s="10" t="n"/>
      <c r="D966" s="10">
        <f>IFERROR(T(VLOOKUP($A966,Players!$A:$E,2,FALSE)),"")</f>
        <v/>
      </c>
      <c r="E966" s="9" t="n"/>
      <c r="F966" s="10" t="n"/>
    </row>
    <row r="967">
      <c r="A967" s="5" t="n"/>
      <c r="B967" s="6" t="n"/>
      <c r="C967" s="7" t="n"/>
      <c r="D967" s="7">
        <f>IFERROR(T(VLOOKUP($A967,Players!$A:$E,2,FALSE)),"")</f>
        <v/>
      </c>
      <c r="E967" s="6" t="n"/>
      <c r="F967" s="7" t="n"/>
    </row>
    <row r="968">
      <c r="A968" s="8" t="n"/>
      <c r="B968" s="9" t="n"/>
      <c r="C968" s="10" t="n"/>
      <c r="D968" s="10">
        <f>IFERROR(T(VLOOKUP($A968,Players!$A:$E,2,FALSE)),"")</f>
        <v/>
      </c>
      <c r="E968" s="9" t="n"/>
      <c r="F968" s="10" t="n"/>
    </row>
    <row r="969">
      <c r="A969" s="5" t="n"/>
      <c r="B969" s="6" t="n"/>
      <c r="C969" s="7" t="n"/>
      <c r="D969" s="7">
        <f>IFERROR(T(VLOOKUP($A969,Players!$A:$E,2,FALSE)),"")</f>
        <v/>
      </c>
      <c r="E969" s="6" t="n"/>
      <c r="F969" s="7" t="n"/>
    </row>
    <row r="970">
      <c r="A970" s="8" t="n"/>
      <c r="B970" s="9" t="n"/>
      <c r="C970" s="10" t="n"/>
      <c r="D970" s="10">
        <f>IFERROR(T(VLOOKUP($A970,Players!$A:$E,2,FALSE)),"")</f>
        <v/>
      </c>
      <c r="E970" s="9" t="n"/>
      <c r="F970" s="10" t="n"/>
    </row>
    <row r="971">
      <c r="A971" s="5" t="n"/>
      <c r="B971" s="6" t="n"/>
      <c r="C971" s="7" t="n"/>
      <c r="D971" s="7">
        <f>IFERROR(T(VLOOKUP($A971,Players!$A:$E,2,FALSE)),"")</f>
        <v/>
      </c>
      <c r="E971" s="6" t="n"/>
      <c r="F971" s="7" t="n"/>
    </row>
    <row r="972">
      <c r="A972" s="8" t="n"/>
      <c r="B972" s="9" t="n"/>
      <c r="C972" s="10" t="n"/>
      <c r="D972" s="10">
        <f>IFERROR(T(VLOOKUP($A972,Players!$A:$E,2,FALSE)),"")</f>
        <v/>
      </c>
      <c r="E972" s="9" t="n"/>
      <c r="F972" s="10" t="n"/>
    </row>
    <row r="973">
      <c r="A973" s="5" t="n"/>
      <c r="B973" s="6" t="n"/>
      <c r="C973" s="7" t="n"/>
      <c r="D973" s="7">
        <f>IFERROR(T(VLOOKUP($A973,Players!$A:$E,2,FALSE)),"")</f>
        <v/>
      </c>
      <c r="E973" s="6" t="n"/>
      <c r="F973" s="7" t="n"/>
    </row>
    <row r="974">
      <c r="A974" s="8" t="n"/>
      <c r="B974" s="9" t="n"/>
      <c r="C974" s="10" t="n"/>
      <c r="D974" s="10">
        <f>IFERROR(T(VLOOKUP($A974,Players!$A:$E,2,FALSE)),"")</f>
        <v/>
      </c>
      <c r="E974" s="9" t="n"/>
      <c r="F974" s="10" t="n"/>
    </row>
    <row r="975">
      <c r="A975" s="5" t="n"/>
      <c r="B975" s="6" t="n"/>
      <c r="C975" s="7" t="n"/>
      <c r="D975" s="7">
        <f>IFERROR(T(VLOOKUP($A975,Players!$A:$E,2,FALSE)),"")</f>
        <v/>
      </c>
      <c r="E975" s="6" t="n"/>
      <c r="F975" s="7" t="n"/>
    </row>
    <row r="976">
      <c r="A976" s="8" t="n"/>
      <c r="B976" s="9" t="n"/>
      <c r="C976" s="10" t="n"/>
      <c r="D976" s="10">
        <f>IFERROR(T(VLOOKUP($A976,Players!$A:$E,2,FALSE)),"")</f>
        <v/>
      </c>
      <c r="E976" s="9" t="n"/>
      <c r="F976" s="10" t="n"/>
    </row>
    <row r="977">
      <c r="A977" s="5" t="n"/>
      <c r="B977" s="6" t="n"/>
      <c r="C977" s="7" t="n"/>
      <c r="D977" s="7">
        <f>IFERROR(T(VLOOKUP($A977,Players!$A:$E,2,FALSE)),"")</f>
        <v/>
      </c>
      <c r="E977" s="6" t="n"/>
      <c r="F977" s="7" t="n"/>
    </row>
    <row r="978">
      <c r="A978" s="8" t="n"/>
      <c r="B978" s="9" t="n"/>
      <c r="C978" s="10" t="n"/>
      <c r="D978" s="10">
        <f>IFERROR(T(VLOOKUP($A978,Players!$A:$E,2,FALSE)),"")</f>
        <v/>
      </c>
      <c r="E978" s="9" t="n"/>
      <c r="F978" s="10" t="n"/>
    </row>
    <row r="979">
      <c r="A979" s="5" t="n"/>
      <c r="B979" s="6" t="n"/>
      <c r="C979" s="7" t="n"/>
      <c r="D979" s="7">
        <f>IFERROR(T(VLOOKUP($A979,Players!$A:$E,2,FALSE)),"")</f>
        <v/>
      </c>
      <c r="E979" s="6" t="n"/>
      <c r="F979" s="7" t="n"/>
    </row>
    <row r="980">
      <c r="A980" s="8" t="n"/>
      <c r="B980" s="9" t="n"/>
      <c r="C980" s="10" t="n"/>
      <c r="D980" s="10">
        <f>IFERROR(T(VLOOKUP($A980,Players!$A:$E,2,FALSE)),"")</f>
        <v/>
      </c>
      <c r="E980" s="9" t="n"/>
      <c r="F980" s="10" t="n"/>
    </row>
    <row r="981">
      <c r="A981" s="5" t="n"/>
      <c r="B981" s="6" t="n"/>
      <c r="C981" s="7" t="n"/>
      <c r="D981" s="7">
        <f>IFERROR(T(VLOOKUP($A981,Players!$A:$E,2,FALSE)),"")</f>
        <v/>
      </c>
      <c r="E981" s="6" t="n"/>
      <c r="F981" s="7" t="n"/>
    </row>
    <row r="982">
      <c r="A982" s="8" t="n"/>
      <c r="B982" s="9" t="n"/>
      <c r="C982" s="10" t="n"/>
      <c r="D982" s="10">
        <f>IFERROR(T(VLOOKUP($A982,Players!$A:$E,2,FALSE)),"")</f>
        <v/>
      </c>
      <c r="E982" s="9" t="n"/>
      <c r="F982" s="10" t="n"/>
    </row>
    <row r="983">
      <c r="A983" s="5" t="n"/>
      <c r="B983" s="6" t="n"/>
      <c r="C983" s="7" t="n"/>
      <c r="D983" s="7">
        <f>IFERROR(T(VLOOKUP($A983,Players!$A:$E,2,FALSE)),"")</f>
        <v/>
      </c>
      <c r="E983" s="6" t="n"/>
      <c r="F983" s="7" t="n"/>
    </row>
    <row r="984">
      <c r="A984" s="8" t="n"/>
      <c r="B984" s="9" t="n"/>
      <c r="C984" s="10" t="n"/>
      <c r="D984" s="10">
        <f>IFERROR(T(VLOOKUP($A984,Players!$A:$E,2,FALSE)),"")</f>
        <v/>
      </c>
      <c r="E984" s="9" t="n"/>
      <c r="F984" s="10" t="n"/>
    </row>
    <row r="985">
      <c r="A985" s="5" t="n"/>
      <c r="B985" s="6" t="n"/>
      <c r="C985" s="7" t="n"/>
      <c r="D985" s="7">
        <f>IFERROR(T(VLOOKUP($A985,Players!$A:$E,2,FALSE)),"")</f>
        <v/>
      </c>
      <c r="E985" s="6" t="n"/>
      <c r="F985" s="7" t="n"/>
    </row>
    <row r="986">
      <c r="A986" s="8" t="n"/>
      <c r="B986" s="9" t="n"/>
      <c r="C986" s="10" t="n"/>
      <c r="D986" s="10">
        <f>IFERROR(T(VLOOKUP($A986,Players!$A:$E,2,FALSE)),"")</f>
        <v/>
      </c>
      <c r="E986" s="9" t="n"/>
      <c r="F986" s="10" t="n"/>
    </row>
    <row r="987">
      <c r="A987" s="5" t="n"/>
      <c r="B987" s="6" t="n"/>
      <c r="C987" s="7" t="n"/>
      <c r="D987" s="7">
        <f>IFERROR(T(VLOOKUP($A987,Players!$A:$E,2,FALSE)),"")</f>
        <v/>
      </c>
      <c r="E987" s="6" t="n"/>
      <c r="F987" s="7" t="n"/>
    </row>
    <row r="988">
      <c r="A988" s="8" t="n"/>
      <c r="B988" s="9" t="n"/>
      <c r="C988" s="10" t="n"/>
      <c r="D988" s="10">
        <f>IFERROR(T(VLOOKUP($A988,Players!$A:$E,2,FALSE)),"")</f>
        <v/>
      </c>
      <c r="E988" s="9" t="n"/>
      <c r="F988" s="10" t="n"/>
    </row>
    <row r="989">
      <c r="A989" s="5" t="n"/>
      <c r="B989" s="6" t="n"/>
      <c r="C989" s="7" t="n"/>
      <c r="D989" s="7">
        <f>IFERROR(T(VLOOKUP($A989,Players!$A:$E,2,FALSE)),"")</f>
        <v/>
      </c>
      <c r="E989" s="6" t="n"/>
      <c r="F989" s="7" t="n"/>
    </row>
    <row r="990">
      <c r="A990" s="8" t="n"/>
      <c r="B990" s="9" t="n"/>
      <c r="C990" s="10" t="n"/>
      <c r="D990" s="10">
        <f>IFERROR(T(VLOOKUP($A990,Players!$A:$E,2,FALSE)),"")</f>
        <v/>
      </c>
      <c r="E990" s="9" t="n"/>
      <c r="F990" s="10" t="n"/>
    </row>
    <row r="991">
      <c r="A991" s="5" t="n"/>
      <c r="B991" s="6" t="n"/>
      <c r="C991" s="7" t="n"/>
      <c r="D991" s="7">
        <f>IFERROR(T(VLOOKUP($A991,Players!$A:$E,2,FALSE)),"")</f>
        <v/>
      </c>
      <c r="E991" s="6" t="n"/>
      <c r="F991" s="7" t="n"/>
    </row>
    <row r="992">
      <c r="A992" s="8" t="n"/>
      <c r="B992" s="9" t="n"/>
      <c r="C992" s="10" t="n"/>
      <c r="D992" s="10">
        <f>IFERROR(T(VLOOKUP($A992,Players!$A:$E,2,FALSE)),"")</f>
        <v/>
      </c>
      <c r="E992" s="9" t="n"/>
      <c r="F992" s="10" t="n"/>
    </row>
    <row r="993">
      <c r="A993" s="5" t="n"/>
      <c r="B993" s="6" t="n"/>
      <c r="C993" s="7" t="n"/>
      <c r="D993" s="7">
        <f>IFERROR(T(VLOOKUP($A993,Players!$A:$E,2,FALSE)),"")</f>
        <v/>
      </c>
      <c r="E993" s="6" t="n"/>
      <c r="F993" s="7" t="n"/>
    </row>
    <row r="994">
      <c r="A994" s="8" t="n"/>
      <c r="B994" s="9" t="n"/>
      <c r="C994" s="10" t="n"/>
      <c r="D994" s="10">
        <f>IFERROR(T(VLOOKUP($A994,Players!$A:$E,2,FALSE)),"")</f>
        <v/>
      </c>
      <c r="E994" s="9" t="n"/>
      <c r="F994" s="10" t="n"/>
    </row>
    <row r="995">
      <c r="A995" s="5" t="n"/>
      <c r="B995" s="6" t="n"/>
      <c r="C995" s="7" t="n"/>
      <c r="D995" s="7">
        <f>IFERROR(T(VLOOKUP($A995,Players!$A:$E,2,FALSE)),"")</f>
        <v/>
      </c>
      <c r="E995" s="6" t="n"/>
      <c r="F995" s="7" t="n"/>
    </row>
    <row r="996">
      <c r="A996" s="8" t="n"/>
      <c r="B996" s="9" t="n"/>
      <c r="C996" s="10" t="n"/>
      <c r="D996" s="10">
        <f>IFERROR(T(VLOOKUP($A996,Players!$A:$E,2,FALSE)),"")</f>
        <v/>
      </c>
      <c r="E996" s="9" t="n"/>
      <c r="F996" s="10" t="n"/>
    </row>
    <row r="997">
      <c r="A997" s="5" t="n"/>
      <c r="B997" s="6" t="n"/>
      <c r="C997" s="7" t="n"/>
      <c r="D997" s="7">
        <f>IFERROR(T(VLOOKUP($A997,Players!$A:$E,2,FALSE)),"")</f>
        <v/>
      </c>
      <c r="E997" s="6" t="n"/>
      <c r="F997" s="7" t="n"/>
    </row>
    <row r="998">
      <c r="A998" s="8" t="n"/>
      <c r="B998" s="9" t="n"/>
      <c r="C998" s="10" t="n"/>
      <c r="D998" s="10">
        <f>IFERROR(T(VLOOKUP($A998,Players!$A:$E,2,FALSE)),"")</f>
        <v/>
      </c>
      <c r="E998" s="9" t="n"/>
      <c r="F998" s="10" t="n"/>
    </row>
    <row r="999">
      <c r="A999" s="5" t="n"/>
      <c r="B999" s="6" t="n"/>
      <c r="C999" s="7" t="n"/>
      <c r="D999" s="7">
        <f>IFERROR(T(VLOOKUP($A999,Players!$A:$E,2,FALSE)),"")</f>
        <v/>
      </c>
      <c r="E999" s="6" t="n"/>
      <c r="F999" s="7" t="n"/>
    </row>
    <row r="1000">
      <c r="A1000" s="8" t="n"/>
      <c r="B1000" s="9" t="n"/>
      <c r="C1000" s="10" t="n"/>
      <c r="D1000" s="10">
        <f>IFERROR(T(VLOOKUP($A1000,Players!$A:$E,2,FALSE)),"")</f>
        <v/>
      </c>
      <c r="E1000" s="9" t="n"/>
      <c r="F1000" s="10" t="n"/>
    </row>
  </sheetData>
  <autoFilter ref="A4:F287"/>
  <mergeCells count="2">
    <mergeCell ref="A2:F2"/>
    <mergeCell ref="A1:F1"/>
  </mergeCells>
  <dataValidations count="1">
    <dataValidation sqref="C5:C1000" showDropDown="0" showInputMessage="0" showErrorMessage="0" allowBlank="1" errorTitle="Invalid team" error="Pick a team from the list." promptTitle="Team" prompt="Choose the buying team" type="list">
      <formula1>=Balance!$A$2:$A$16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8860B"/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0" customHeight="1">
      <c r="A1" s="12" t="inlineStr">
        <is>
          <t>💰  TEAM PURSE &amp; BALANCE</t>
        </is>
      </c>
    </row>
    <row r="2" ht="24" customHeight="1">
      <c r="A2" s="2" t="inlineStr">
        <is>
          <t>Rename a team here and it updates everywhere (drop-down + that team's sheet). Purse is editable per team. All figures in crores.</t>
        </is>
      </c>
    </row>
    <row r="3">
      <c r="A3" s="3" t="inlineStr">
        <is>
          <t>Team</t>
        </is>
      </c>
      <c r="B3" s="3" t="inlineStr">
        <is>
          <t>Purse (Cr)</t>
        </is>
      </c>
      <c r="C3" s="3" t="inlineStr">
        <is>
          <t>Spent (Cr)</t>
        </is>
      </c>
      <c r="D3" s="3" t="inlineStr">
        <is>
          <t>Balance (Cr)</t>
        </is>
      </c>
      <c r="E3" s="3" t="inlineStr">
        <is>
          <t>Players</t>
        </is>
      </c>
    </row>
    <row r="4">
      <c r="A4" s="5" t="inlineStr">
        <is>
          <t>Mumbai Indians</t>
        </is>
      </c>
      <c r="B4" s="6" t="n">
        <v>100</v>
      </c>
      <c r="C4" s="6">
        <f>SUMIF(Auction!$C$5:$C$1000,$A4,Auction!$B$5:$B$1000)</f>
        <v/>
      </c>
      <c r="D4" s="6">
        <f>B4-C4</f>
        <v/>
      </c>
      <c r="E4" s="7">
        <f>COUNTIF(Auction!$C$5:$C$1000,$A4)</f>
        <v/>
      </c>
    </row>
    <row r="5">
      <c r="A5" s="8" t="inlineStr">
        <is>
          <t>Royal Challangers Banglore</t>
        </is>
      </c>
      <c r="B5" s="9" t="n">
        <v>100</v>
      </c>
      <c r="C5" s="9">
        <f>SUMIF(Auction!$C$5:$C$1000,$A5,Auction!$B$5:$B$1000)</f>
        <v/>
      </c>
      <c r="D5" s="9">
        <f>B5-C5</f>
        <v/>
      </c>
      <c r="E5" s="10">
        <f>COUNTIF(Auction!$C$5:$C$1000,$A5)</f>
        <v/>
      </c>
    </row>
    <row r="6">
      <c r="A6" s="5" t="inlineStr">
        <is>
          <t>Chennai Super Kings</t>
        </is>
      </c>
      <c r="B6" s="6" t="n">
        <v>100</v>
      </c>
      <c r="C6" s="6">
        <f>SUMIF(Auction!$C$5:$C$1000,$A6,Auction!$B$5:$B$1000)</f>
        <v/>
      </c>
      <c r="D6" s="6">
        <f>B6-C6</f>
        <v/>
      </c>
      <c r="E6" s="7">
        <f>COUNTIF(Auction!$C$5:$C$1000,$A6)</f>
        <v/>
      </c>
    </row>
    <row r="7">
      <c r="A7" s="8" t="inlineStr">
        <is>
          <t>Kolkata Knight Riders</t>
        </is>
      </c>
      <c r="B7" s="9" t="n">
        <v>100</v>
      </c>
      <c r="C7" s="9">
        <f>SUMIF(Auction!$C$5:$C$1000,$A7,Auction!$B$5:$B$1000)</f>
        <v/>
      </c>
      <c r="D7" s="9">
        <f>B7-C7</f>
        <v/>
      </c>
      <c r="E7" s="10">
        <f>COUNTIF(Auction!$C$5:$C$1000,$A7)</f>
        <v/>
      </c>
    </row>
    <row r="8">
      <c r="A8" s="5" t="inlineStr">
        <is>
          <t>Patna Panthers</t>
        </is>
      </c>
      <c r="B8" s="6" t="n">
        <v>100</v>
      </c>
      <c r="C8" s="6">
        <f>SUMIF(Auction!$C$5:$C$1000,$A8,Auction!$B$5:$B$1000)</f>
        <v/>
      </c>
      <c r="D8" s="6">
        <f>B8-C8</f>
        <v/>
      </c>
      <c r="E8" s="7">
        <f>COUNTIF(Auction!$C$5:$C$1000,$A8)</f>
        <v/>
      </c>
    </row>
    <row r="9">
      <c r="A9" s="8" t="inlineStr">
        <is>
          <t>Sunrisers Hydrabad</t>
        </is>
      </c>
      <c r="B9" s="9" t="n">
        <v>100</v>
      </c>
      <c r="C9" s="9">
        <f>SUMIF(Auction!$C$5:$C$1000,$A9,Auction!$B$5:$B$1000)</f>
        <v/>
      </c>
      <c r="D9" s="9">
        <f>B9-C9</f>
        <v/>
      </c>
      <c r="E9" s="10">
        <f>COUNTIF(Auction!$C$5:$C$1000,$A9)</f>
        <v/>
      </c>
    </row>
    <row r="10">
      <c r="A10" s="5" t="inlineStr">
        <is>
          <t>Delhi Capitals</t>
        </is>
      </c>
      <c r="B10" s="6" t="n">
        <v>100</v>
      </c>
      <c r="C10" s="6">
        <f>SUMIF(Auction!$C$5:$C$1000,$A10,Auction!$B$5:$B$1000)</f>
        <v/>
      </c>
      <c r="D10" s="6">
        <f>B10-C10</f>
        <v/>
      </c>
      <c r="E10" s="7">
        <f>COUNTIF(Auction!$C$5:$C$1000,$A10)</f>
        <v/>
      </c>
    </row>
    <row r="11">
      <c r="A11" s="8" t="inlineStr">
        <is>
          <t>Gujarat Titans</t>
        </is>
      </c>
      <c r="B11" s="9" t="n">
        <v>100</v>
      </c>
      <c r="C11" s="9">
        <f>SUMIF(Auction!$C$5:$C$1000,$A11,Auction!$B$5:$B$1000)</f>
        <v/>
      </c>
      <c r="D11" s="9">
        <f>B11-C11</f>
        <v/>
      </c>
      <c r="E11" s="10">
        <f>COUNTIF(Auction!$C$5:$C$1000,$A11)</f>
        <v/>
      </c>
    </row>
    <row r="12">
      <c r="A12" s="5" t="inlineStr">
        <is>
          <t>Lucknow Super Giants</t>
        </is>
      </c>
      <c r="B12" s="6" t="n">
        <v>100</v>
      </c>
      <c r="C12" s="6">
        <f>SUMIF(Auction!$C$5:$C$1000,$A12,Auction!$B$5:$B$1000)</f>
        <v/>
      </c>
      <c r="D12" s="6">
        <f>B12-C12</f>
        <v/>
      </c>
      <c r="E12" s="7">
        <f>COUNTIF(Auction!$C$5:$C$1000,$A12)</f>
        <v/>
      </c>
    </row>
    <row r="13">
      <c r="A13" s="8" t="inlineStr">
        <is>
          <t>Imphal Igniter</t>
        </is>
      </c>
      <c r="B13" s="9" t="n">
        <v>100</v>
      </c>
      <c r="C13" s="9">
        <f>SUMIF(Auction!$C$5:$C$1000,$A13,Auction!$B$5:$B$1000)</f>
        <v/>
      </c>
      <c r="D13" s="9">
        <f>B13-C13</f>
        <v/>
      </c>
      <c r="E13" s="10">
        <f>COUNTIF(Auction!$C$5:$C$1000,$A13)</f>
        <v/>
      </c>
    </row>
    <row r="14">
      <c r="A14" s="5" t="inlineStr">
        <is>
          <t>Punjab Kings</t>
        </is>
      </c>
      <c r="B14" s="6" t="n">
        <v>100</v>
      </c>
      <c r="C14" s="6">
        <f>SUMIF(Auction!$C$5:$C$1000,$A14,Auction!$B$5:$B$1000)</f>
        <v/>
      </c>
      <c r="D14" s="6">
        <f>B14-C14</f>
        <v/>
      </c>
      <c r="E14" s="7">
        <f>COUNTIF(Auction!$C$5:$C$1000,$A14)</f>
        <v/>
      </c>
    </row>
    <row r="15">
      <c r="A15" s="8" t="inlineStr">
        <is>
          <t>Rising Pune Super Giants</t>
        </is>
      </c>
      <c r="B15" s="9" t="n">
        <v>100</v>
      </c>
      <c r="C15" s="9">
        <f>SUMIF(Auction!$C$5:$C$1000,$A15,Auction!$B$5:$B$1000)</f>
        <v/>
      </c>
      <c r="D15" s="9">
        <f>B15-C15</f>
        <v/>
      </c>
      <c r="E15" s="10">
        <f>COUNTIF(Auction!$C$5:$C$1000,$A15)</f>
        <v/>
      </c>
    </row>
    <row r="16">
      <c r="A16" s="5" t="inlineStr">
        <is>
          <t>Rajasthan Royals</t>
        </is>
      </c>
      <c r="B16" s="6" t="n">
        <v>100</v>
      </c>
      <c r="C16" s="6">
        <f>SUMIF(Auction!$C$5:$C$1000,$A16,Auction!$B$5:$B$1000)</f>
        <v/>
      </c>
      <c r="D16" s="6">
        <f>B16-C16</f>
        <v/>
      </c>
      <c r="E16" s="7">
        <f>COUNTIF(Auction!$C$5:$C$1000,$A16)</f>
        <v/>
      </c>
    </row>
    <row r="17">
      <c r="A17" s="8" t="inlineStr">
        <is>
          <t>Kochi Tuskers</t>
        </is>
      </c>
      <c r="B17" s="9" t="n">
        <v>100</v>
      </c>
      <c r="C17" s="9">
        <f>SUMIF(Auction!$C$5:$C$1000,$A17,Auction!$B$5:$B$1000)</f>
        <v/>
      </c>
      <c r="D17" s="9">
        <f>B17-C17</f>
        <v/>
      </c>
      <c r="E17" s="10">
        <f>COUNTIF(Auction!$C$5:$C$1000,$A17)</f>
        <v/>
      </c>
    </row>
    <row r="18">
      <c r="A18" s="5" t="inlineStr">
        <is>
          <t>Guwahati Chargers</t>
        </is>
      </c>
      <c r="B18" s="6" t="n">
        <v>100</v>
      </c>
      <c r="C18" s="6">
        <f>SUMIF(Auction!$C$5:$C$1000,$A18,Auction!$B$5:$B$1000)</f>
        <v/>
      </c>
      <c r="D18" s="6">
        <f>B18-C18</f>
        <v/>
      </c>
      <c r="E18" s="7">
        <f>COUNTIF(Auction!$C$5:$C$1000,$A18)</f>
        <v/>
      </c>
    </row>
    <row r="19">
      <c r="A19" s="13" t="inlineStr">
        <is>
          <t>TOTAL</t>
        </is>
      </c>
      <c r="B19" s="14">
        <f>SUM(B4:B18)</f>
        <v/>
      </c>
      <c r="C19" s="14">
        <f>SUM(C4:C18)</f>
        <v/>
      </c>
      <c r="D19" s="14">
        <f>SUM(D4:D18)</f>
        <v/>
      </c>
      <c r="E19" s="15">
        <f>SUM(E4:E18)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B2:T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22" customWidth="1" min="3" max="3"/>
    <col width="9" customWidth="1" min="4" max="4"/>
    <col width="2" customWidth="1" min="5" max="5"/>
    <col width="5" customWidth="1" min="6" max="6"/>
    <col width="22" customWidth="1" min="7" max="7"/>
    <col width="9" customWidth="1" min="8" max="8"/>
    <col width="2" customWidth="1" min="9" max="9"/>
    <col width="5" customWidth="1" min="10" max="10"/>
    <col width="22" customWidth="1" min="11" max="11"/>
    <col width="9" customWidth="1" min="12" max="12"/>
    <col width="2" customWidth="1" min="13" max="13"/>
    <col width="5" customWidth="1" min="14" max="14"/>
    <col width="22" customWidth="1" min="15" max="15"/>
    <col width="9" customWidth="1" min="16" max="16"/>
    <col width="2" customWidth="1" min="17" max="17"/>
    <col width="5" customWidth="1" min="18" max="18"/>
    <col width="22" customWidth="1" min="19" max="19"/>
    <col width="9" customWidth="1" min="20" max="20"/>
  </cols>
  <sheetData>
    <row r="2" ht="22" customHeight="1">
      <c r="B2" s="16">
        <f>Balance!$A$4</f>
        <v/>
      </c>
      <c r="F2" s="16">
        <f>Balance!$A$5</f>
        <v/>
      </c>
      <c r="J2" s="16">
        <f>Balance!$A$6</f>
        <v/>
      </c>
      <c r="N2" s="16">
        <f>Balance!$A$7</f>
        <v/>
      </c>
      <c r="R2" s="16">
        <f>Balance!$A$8</f>
        <v/>
      </c>
    </row>
    <row r="3">
      <c r="B3" s="3" t="inlineStr">
        <is>
          <t>S.No</t>
        </is>
      </c>
      <c r="C3" s="3" t="inlineStr">
        <is>
          <t>Player Name</t>
        </is>
      </c>
      <c r="D3" s="3" t="inlineStr">
        <is>
          <t>Amount</t>
        </is>
      </c>
      <c r="F3" s="3" t="inlineStr">
        <is>
          <t>S.No</t>
        </is>
      </c>
      <c r="G3" s="3" t="inlineStr">
        <is>
          <t>Player Name</t>
        </is>
      </c>
      <c r="H3" s="3" t="inlineStr">
        <is>
          <t>Amount</t>
        </is>
      </c>
      <c r="J3" s="3" t="inlineStr">
        <is>
          <t>S.No</t>
        </is>
      </c>
      <c r="K3" s="3" t="inlineStr">
        <is>
          <t>Player Name</t>
        </is>
      </c>
      <c r="L3" s="3" t="inlineStr">
        <is>
          <t>Amount</t>
        </is>
      </c>
      <c r="N3" s="3" t="inlineStr">
        <is>
          <t>S.No</t>
        </is>
      </c>
      <c r="O3" s="3" t="inlineStr">
        <is>
          <t>Player Name</t>
        </is>
      </c>
      <c r="P3" s="3" t="inlineStr">
        <is>
          <t>Amount</t>
        </is>
      </c>
      <c r="R3" s="3" t="inlineStr">
        <is>
          <t>S.No</t>
        </is>
      </c>
      <c r="S3" s="3" t="inlineStr">
        <is>
          <t>Player Name</t>
        </is>
      </c>
      <c r="T3" s="3" t="inlineStr">
        <is>
          <t>Amount</t>
        </is>
      </c>
    </row>
    <row r="4">
      <c r="B4" s="7" t="n">
        <v>1</v>
      </c>
      <c r="C4" s="5">
        <f t="array" ref="C4">IFERROR(INDEX(Auction!$A$5:$A$1000,SMALL(IF(Auction!$C$5:$C$1000=$B$2,ROW(Auction!$C$5:$C$1000)-ROW(Auction!$C$5)+1),1)),"")</f>
        <v/>
      </c>
      <c r="D4" s="6">
        <f t="array" ref="D4">IFERROR(INDEX(Auction!$B$5:$B$1000,SMALL(IF(Auction!$C$5:$C$1000=$B$2,ROW(Auction!$C$5:$C$1000)-ROW(Auction!$C$5)+1),1)),"")</f>
        <v/>
      </c>
      <c r="F4" s="7" t="n">
        <v>1</v>
      </c>
      <c r="G4" s="5">
        <f t="array" ref="G4">IFERROR(INDEX(Auction!$A$5:$A$1000,SMALL(IF(Auction!$C$5:$C$1000=$F$2,ROW(Auction!$C$5:$C$1000)-ROW(Auction!$C$5)+1),1)),"")</f>
        <v/>
      </c>
      <c r="H4" s="6">
        <f t="array" ref="H4">IFERROR(INDEX(Auction!$B$5:$B$1000,SMALL(IF(Auction!$C$5:$C$1000=$F$2,ROW(Auction!$C$5:$C$1000)-ROW(Auction!$C$5)+1),1)),"")</f>
        <v/>
      </c>
      <c r="J4" s="7" t="n">
        <v>1</v>
      </c>
      <c r="K4" s="5">
        <f t="array" ref="K4">IFERROR(INDEX(Auction!$A$5:$A$1000,SMALL(IF(Auction!$C$5:$C$1000=$J$2,ROW(Auction!$C$5:$C$1000)-ROW(Auction!$C$5)+1),1)),"")</f>
        <v/>
      </c>
      <c r="L4" s="6">
        <f t="array" ref="L4">IFERROR(INDEX(Auction!$B$5:$B$1000,SMALL(IF(Auction!$C$5:$C$1000=$J$2,ROW(Auction!$C$5:$C$1000)-ROW(Auction!$C$5)+1),1)),"")</f>
        <v/>
      </c>
      <c r="N4" s="7" t="n">
        <v>1</v>
      </c>
      <c r="O4" s="5">
        <f t="array" ref="O4">IFERROR(INDEX(Auction!$A$5:$A$1000,SMALL(IF(Auction!$C$5:$C$1000=$N$2,ROW(Auction!$C$5:$C$1000)-ROW(Auction!$C$5)+1),1)),"")</f>
        <v/>
      </c>
      <c r="P4" s="6">
        <f t="array" ref="P4">IFERROR(INDEX(Auction!$B$5:$B$1000,SMALL(IF(Auction!$C$5:$C$1000=$N$2,ROW(Auction!$C$5:$C$1000)-ROW(Auction!$C$5)+1),1)),"")</f>
        <v/>
      </c>
      <c r="R4" s="7" t="n">
        <v>1</v>
      </c>
      <c r="S4" s="5">
        <f t="array" ref="S4">IFERROR(INDEX(Auction!$A$5:$A$1000,SMALL(IF(Auction!$C$5:$C$1000=$R$2,ROW(Auction!$C$5:$C$1000)-ROW(Auction!$C$5)+1),1)),"")</f>
        <v/>
      </c>
      <c r="T4" s="6">
        <f t="array" ref="T4">IFERROR(INDEX(Auction!$B$5:$B$1000,SMALL(IF(Auction!$C$5:$C$1000=$R$2,ROW(Auction!$C$5:$C$1000)-ROW(Auction!$C$5)+1),1)),"")</f>
        <v/>
      </c>
    </row>
    <row r="5">
      <c r="B5" s="10" t="n">
        <v>2</v>
      </c>
      <c r="C5" s="8">
        <f t="array" ref="C5">IFERROR(INDEX(Auction!$A$5:$A$1000,SMALL(IF(Auction!$C$5:$C$1000=$B$2,ROW(Auction!$C$5:$C$1000)-ROW(Auction!$C$5)+1),2)),"")</f>
        <v/>
      </c>
      <c r="D5" s="9">
        <f t="array" ref="D5">IFERROR(INDEX(Auction!$B$5:$B$1000,SMALL(IF(Auction!$C$5:$C$1000=$B$2,ROW(Auction!$C$5:$C$1000)-ROW(Auction!$C$5)+1),2)),"")</f>
        <v/>
      </c>
      <c r="F5" s="10" t="n">
        <v>2</v>
      </c>
      <c r="G5" s="8">
        <f t="array" ref="G5">IFERROR(INDEX(Auction!$A$5:$A$1000,SMALL(IF(Auction!$C$5:$C$1000=$F$2,ROW(Auction!$C$5:$C$1000)-ROW(Auction!$C$5)+1),2)),"")</f>
        <v/>
      </c>
      <c r="H5" s="9">
        <f t="array" ref="H5">IFERROR(INDEX(Auction!$B$5:$B$1000,SMALL(IF(Auction!$C$5:$C$1000=$F$2,ROW(Auction!$C$5:$C$1000)-ROW(Auction!$C$5)+1),2)),"")</f>
        <v/>
      </c>
      <c r="J5" s="10" t="n">
        <v>2</v>
      </c>
      <c r="K5" s="8">
        <f t="array" ref="K5">IFERROR(INDEX(Auction!$A$5:$A$1000,SMALL(IF(Auction!$C$5:$C$1000=$J$2,ROW(Auction!$C$5:$C$1000)-ROW(Auction!$C$5)+1),2)),"")</f>
        <v/>
      </c>
      <c r="L5" s="9">
        <f t="array" ref="L5">IFERROR(INDEX(Auction!$B$5:$B$1000,SMALL(IF(Auction!$C$5:$C$1000=$J$2,ROW(Auction!$C$5:$C$1000)-ROW(Auction!$C$5)+1),2)),"")</f>
        <v/>
      </c>
      <c r="N5" s="10" t="n">
        <v>2</v>
      </c>
      <c r="O5" s="8">
        <f t="array" ref="O5">IFERROR(INDEX(Auction!$A$5:$A$1000,SMALL(IF(Auction!$C$5:$C$1000=$N$2,ROW(Auction!$C$5:$C$1000)-ROW(Auction!$C$5)+1),2)),"")</f>
        <v/>
      </c>
      <c r="P5" s="9">
        <f t="array" ref="P5">IFERROR(INDEX(Auction!$B$5:$B$1000,SMALL(IF(Auction!$C$5:$C$1000=$N$2,ROW(Auction!$C$5:$C$1000)-ROW(Auction!$C$5)+1),2)),"")</f>
        <v/>
      </c>
      <c r="R5" s="10" t="n">
        <v>2</v>
      </c>
      <c r="S5" s="8">
        <f t="array" ref="S5">IFERROR(INDEX(Auction!$A$5:$A$1000,SMALL(IF(Auction!$C$5:$C$1000=$R$2,ROW(Auction!$C$5:$C$1000)-ROW(Auction!$C$5)+1),2)),"")</f>
        <v/>
      </c>
      <c r="T5" s="9">
        <f t="array" ref="T5">IFERROR(INDEX(Auction!$B$5:$B$1000,SMALL(IF(Auction!$C$5:$C$1000=$R$2,ROW(Auction!$C$5:$C$1000)-ROW(Auction!$C$5)+1),2)),"")</f>
        <v/>
      </c>
    </row>
    <row r="6">
      <c r="B6" s="7" t="n">
        <v>3</v>
      </c>
      <c r="C6" s="5">
        <f t="array" ref="C6">IFERROR(INDEX(Auction!$A$5:$A$1000,SMALL(IF(Auction!$C$5:$C$1000=$B$2,ROW(Auction!$C$5:$C$1000)-ROW(Auction!$C$5)+1),3)),"")</f>
        <v/>
      </c>
      <c r="D6" s="6">
        <f t="array" ref="D6">IFERROR(INDEX(Auction!$B$5:$B$1000,SMALL(IF(Auction!$C$5:$C$1000=$B$2,ROW(Auction!$C$5:$C$1000)-ROW(Auction!$C$5)+1),3)),"")</f>
        <v/>
      </c>
      <c r="F6" s="7" t="n">
        <v>3</v>
      </c>
      <c r="G6" s="5">
        <f t="array" ref="G6">IFERROR(INDEX(Auction!$A$5:$A$1000,SMALL(IF(Auction!$C$5:$C$1000=$F$2,ROW(Auction!$C$5:$C$1000)-ROW(Auction!$C$5)+1),3)),"")</f>
        <v/>
      </c>
      <c r="H6" s="6">
        <f t="array" ref="H6">IFERROR(INDEX(Auction!$B$5:$B$1000,SMALL(IF(Auction!$C$5:$C$1000=$F$2,ROW(Auction!$C$5:$C$1000)-ROW(Auction!$C$5)+1),3)),"")</f>
        <v/>
      </c>
      <c r="J6" s="7" t="n">
        <v>3</v>
      </c>
      <c r="K6" s="5">
        <f t="array" ref="K6">IFERROR(INDEX(Auction!$A$5:$A$1000,SMALL(IF(Auction!$C$5:$C$1000=$J$2,ROW(Auction!$C$5:$C$1000)-ROW(Auction!$C$5)+1),3)),"")</f>
        <v/>
      </c>
      <c r="L6" s="6">
        <f t="array" ref="L6">IFERROR(INDEX(Auction!$B$5:$B$1000,SMALL(IF(Auction!$C$5:$C$1000=$J$2,ROW(Auction!$C$5:$C$1000)-ROW(Auction!$C$5)+1),3)),"")</f>
        <v/>
      </c>
      <c r="N6" s="7" t="n">
        <v>3</v>
      </c>
      <c r="O6" s="5">
        <f t="array" ref="O6">IFERROR(INDEX(Auction!$A$5:$A$1000,SMALL(IF(Auction!$C$5:$C$1000=$N$2,ROW(Auction!$C$5:$C$1000)-ROW(Auction!$C$5)+1),3)),"")</f>
        <v/>
      </c>
      <c r="P6" s="6">
        <f t="array" ref="P6">IFERROR(INDEX(Auction!$B$5:$B$1000,SMALL(IF(Auction!$C$5:$C$1000=$N$2,ROW(Auction!$C$5:$C$1000)-ROW(Auction!$C$5)+1),3)),"")</f>
        <v/>
      </c>
      <c r="R6" s="7" t="n">
        <v>3</v>
      </c>
      <c r="S6" s="5">
        <f t="array" ref="S6">IFERROR(INDEX(Auction!$A$5:$A$1000,SMALL(IF(Auction!$C$5:$C$1000=$R$2,ROW(Auction!$C$5:$C$1000)-ROW(Auction!$C$5)+1),3)),"")</f>
        <v/>
      </c>
      <c r="T6" s="6">
        <f t="array" ref="T6">IFERROR(INDEX(Auction!$B$5:$B$1000,SMALL(IF(Auction!$C$5:$C$1000=$R$2,ROW(Auction!$C$5:$C$1000)-ROW(Auction!$C$5)+1),3)),"")</f>
        <v/>
      </c>
    </row>
    <row r="7">
      <c r="B7" s="10" t="n">
        <v>4</v>
      </c>
      <c r="C7" s="8">
        <f t="array" ref="C7">IFERROR(INDEX(Auction!$A$5:$A$1000,SMALL(IF(Auction!$C$5:$C$1000=$B$2,ROW(Auction!$C$5:$C$1000)-ROW(Auction!$C$5)+1),4)),"")</f>
        <v/>
      </c>
      <c r="D7" s="9">
        <f t="array" ref="D7">IFERROR(INDEX(Auction!$B$5:$B$1000,SMALL(IF(Auction!$C$5:$C$1000=$B$2,ROW(Auction!$C$5:$C$1000)-ROW(Auction!$C$5)+1),4)),"")</f>
        <v/>
      </c>
      <c r="F7" s="10" t="n">
        <v>4</v>
      </c>
      <c r="G7" s="8">
        <f t="array" ref="G7">IFERROR(INDEX(Auction!$A$5:$A$1000,SMALL(IF(Auction!$C$5:$C$1000=$F$2,ROW(Auction!$C$5:$C$1000)-ROW(Auction!$C$5)+1),4)),"")</f>
        <v/>
      </c>
      <c r="H7" s="9">
        <f t="array" ref="H7">IFERROR(INDEX(Auction!$B$5:$B$1000,SMALL(IF(Auction!$C$5:$C$1000=$F$2,ROW(Auction!$C$5:$C$1000)-ROW(Auction!$C$5)+1),4)),"")</f>
        <v/>
      </c>
      <c r="J7" s="10" t="n">
        <v>4</v>
      </c>
      <c r="K7" s="8">
        <f t="array" ref="K7">IFERROR(INDEX(Auction!$A$5:$A$1000,SMALL(IF(Auction!$C$5:$C$1000=$J$2,ROW(Auction!$C$5:$C$1000)-ROW(Auction!$C$5)+1),4)),"")</f>
        <v/>
      </c>
      <c r="L7" s="9">
        <f t="array" ref="L7">IFERROR(INDEX(Auction!$B$5:$B$1000,SMALL(IF(Auction!$C$5:$C$1000=$J$2,ROW(Auction!$C$5:$C$1000)-ROW(Auction!$C$5)+1),4)),"")</f>
        <v/>
      </c>
      <c r="N7" s="10" t="n">
        <v>4</v>
      </c>
      <c r="O7" s="8">
        <f t="array" ref="O7">IFERROR(INDEX(Auction!$A$5:$A$1000,SMALL(IF(Auction!$C$5:$C$1000=$N$2,ROW(Auction!$C$5:$C$1000)-ROW(Auction!$C$5)+1),4)),"")</f>
        <v/>
      </c>
      <c r="P7" s="9">
        <f t="array" ref="P7">IFERROR(INDEX(Auction!$B$5:$B$1000,SMALL(IF(Auction!$C$5:$C$1000=$N$2,ROW(Auction!$C$5:$C$1000)-ROW(Auction!$C$5)+1),4)),"")</f>
        <v/>
      </c>
      <c r="R7" s="10" t="n">
        <v>4</v>
      </c>
      <c r="S7" s="8">
        <f t="array" ref="S7">IFERROR(INDEX(Auction!$A$5:$A$1000,SMALL(IF(Auction!$C$5:$C$1000=$R$2,ROW(Auction!$C$5:$C$1000)-ROW(Auction!$C$5)+1),4)),"")</f>
        <v/>
      </c>
      <c r="T7" s="9">
        <f t="array" ref="T7">IFERROR(INDEX(Auction!$B$5:$B$1000,SMALL(IF(Auction!$C$5:$C$1000=$R$2,ROW(Auction!$C$5:$C$1000)-ROW(Auction!$C$5)+1),4)),"")</f>
        <v/>
      </c>
    </row>
    <row r="8">
      <c r="B8" s="7" t="n">
        <v>5</v>
      </c>
      <c r="C8" s="5">
        <f t="array" ref="C8">IFERROR(INDEX(Auction!$A$5:$A$1000,SMALL(IF(Auction!$C$5:$C$1000=$B$2,ROW(Auction!$C$5:$C$1000)-ROW(Auction!$C$5)+1),5)),"")</f>
        <v/>
      </c>
      <c r="D8" s="6">
        <f t="array" ref="D8">IFERROR(INDEX(Auction!$B$5:$B$1000,SMALL(IF(Auction!$C$5:$C$1000=$B$2,ROW(Auction!$C$5:$C$1000)-ROW(Auction!$C$5)+1),5)),"")</f>
        <v/>
      </c>
      <c r="F8" s="7" t="n">
        <v>5</v>
      </c>
      <c r="G8" s="5">
        <f t="array" ref="G8">IFERROR(INDEX(Auction!$A$5:$A$1000,SMALL(IF(Auction!$C$5:$C$1000=$F$2,ROW(Auction!$C$5:$C$1000)-ROW(Auction!$C$5)+1),5)),"")</f>
        <v/>
      </c>
      <c r="H8" s="6">
        <f t="array" ref="H8">IFERROR(INDEX(Auction!$B$5:$B$1000,SMALL(IF(Auction!$C$5:$C$1000=$F$2,ROW(Auction!$C$5:$C$1000)-ROW(Auction!$C$5)+1),5)),"")</f>
        <v/>
      </c>
      <c r="J8" s="7" t="n">
        <v>5</v>
      </c>
      <c r="K8" s="5">
        <f t="array" ref="K8">IFERROR(INDEX(Auction!$A$5:$A$1000,SMALL(IF(Auction!$C$5:$C$1000=$J$2,ROW(Auction!$C$5:$C$1000)-ROW(Auction!$C$5)+1),5)),"")</f>
        <v/>
      </c>
      <c r="L8" s="6">
        <f t="array" ref="L8">IFERROR(INDEX(Auction!$B$5:$B$1000,SMALL(IF(Auction!$C$5:$C$1000=$J$2,ROW(Auction!$C$5:$C$1000)-ROW(Auction!$C$5)+1),5)),"")</f>
        <v/>
      </c>
      <c r="N8" s="7" t="n">
        <v>5</v>
      </c>
      <c r="O8" s="5">
        <f t="array" ref="O8">IFERROR(INDEX(Auction!$A$5:$A$1000,SMALL(IF(Auction!$C$5:$C$1000=$N$2,ROW(Auction!$C$5:$C$1000)-ROW(Auction!$C$5)+1),5)),"")</f>
        <v/>
      </c>
      <c r="P8" s="6">
        <f t="array" ref="P8">IFERROR(INDEX(Auction!$B$5:$B$1000,SMALL(IF(Auction!$C$5:$C$1000=$N$2,ROW(Auction!$C$5:$C$1000)-ROW(Auction!$C$5)+1),5)),"")</f>
        <v/>
      </c>
      <c r="R8" s="7" t="n">
        <v>5</v>
      </c>
      <c r="S8" s="5">
        <f t="array" ref="S8">IFERROR(INDEX(Auction!$A$5:$A$1000,SMALL(IF(Auction!$C$5:$C$1000=$R$2,ROW(Auction!$C$5:$C$1000)-ROW(Auction!$C$5)+1),5)),"")</f>
        <v/>
      </c>
      <c r="T8" s="6">
        <f t="array" ref="T8">IFERROR(INDEX(Auction!$B$5:$B$1000,SMALL(IF(Auction!$C$5:$C$1000=$R$2,ROW(Auction!$C$5:$C$1000)-ROW(Auction!$C$5)+1),5)),"")</f>
        <v/>
      </c>
    </row>
    <row r="9">
      <c r="B9" s="10" t="n">
        <v>6</v>
      </c>
      <c r="C9" s="8">
        <f t="array" ref="C9">IFERROR(INDEX(Auction!$A$5:$A$1000,SMALL(IF(Auction!$C$5:$C$1000=$B$2,ROW(Auction!$C$5:$C$1000)-ROW(Auction!$C$5)+1),6)),"")</f>
        <v/>
      </c>
      <c r="D9" s="9">
        <f t="array" ref="D9">IFERROR(INDEX(Auction!$B$5:$B$1000,SMALL(IF(Auction!$C$5:$C$1000=$B$2,ROW(Auction!$C$5:$C$1000)-ROW(Auction!$C$5)+1),6)),"")</f>
        <v/>
      </c>
      <c r="F9" s="10" t="n">
        <v>6</v>
      </c>
      <c r="G9" s="8">
        <f t="array" ref="G9">IFERROR(INDEX(Auction!$A$5:$A$1000,SMALL(IF(Auction!$C$5:$C$1000=$F$2,ROW(Auction!$C$5:$C$1000)-ROW(Auction!$C$5)+1),6)),"")</f>
        <v/>
      </c>
      <c r="H9" s="9">
        <f t="array" ref="H9">IFERROR(INDEX(Auction!$B$5:$B$1000,SMALL(IF(Auction!$C$5:$C$1000=$F$2,ROW(Auction!$C$5:$C$1000)-ROW(Auction!$C$5)+1),6)),"")</f>
        <v/>
      </c>
      <c r="J9" s="10" t="n">
        <v>6</v>
      </c>
      <c r="K9" s="8">
        <f t="array" ref="K9">IFERROR(INDEX(Auction!$A$5:$A$1000,SMALL(IF(Auction!$C$5:$C$1000=$J$2,ROW(Auction!$C$5:$C$1000)-ROW(Auction!$C$5)+1),6)),"")</f>
        <v/>
      </c>
      <c r="L9" s="9">
        <f t="array" ref="L9">IFERROR(INDEX(Auction!$B$5:$B$1000,SMALL(IF(Auction!$C$5:$C$1000=$J$2,ROW(Auction!$C$5:$C$1000)-ROW(Auction!$C$5)+1),6)),"")</f>
        <v/>
      </c>
      <c r="N9" s="10" t="n">
        <v>6</v>
      </c>
      <c r="O9" s="8">
        <f t="array" ref="O9">IFERROR(INDEX(Auction!$A$5:$A$1000,SMALL(IF(Auction!$C$5:$C$1000=$N$2,ROW(Auction!$C$5:$C$1000)-ROW(Auction!$C$5)+1),6)),"")</f>
        <v/>
      </c>
      <c r="P9" s="9">
        <f t="array" ref="P9">IFERROR(INDEX(Auction!$B$5:$B$1000,SMALL(IF(Auction!$C$5:$C$1000=$N$2,ROW(Auction!$C$5:$C$1000)-ROW(Auction!$C$5)+1),6)),"")</f>
        <v/>
      </c>
      <c r="R9" s="10" t="n">
        <v>6</v>
      </c>
      <c r="S9" s="8">
        <f t="array" ref="S9">IFERROR(INDEX(Auction!$A$5:$A$1000,SMALL(IF(Auction!$C$5:$C$1000=$R$2,ROW(Auction!$C$5:$C$1000)-ROW(Auction!$C$5)+1),6)),"")</f>
        <v/>
      </c>
      <c r="T9" s="9">
        <f t="array" ref="T9">IFERROR(INDEX(Auction!$B$5:$B$1000,SMALL(IF(Auction!$C$5:$C$1000=$R$2,ROW(Auction!$C$5:$C$1000)-ROW(Auction!$C$5)+1),6)),"")</f>
        <v/>
      </c>
    </row>
    <row r="10">
      <c r="B10" s="7" t="n">
        <v>7</v>
      </c>
      <c r="C10" s="5">
        <f t="array" ref="C10">IFERROR(INDEX(Auction!$A$5:$A$1000,SMALL(IF(Auction!$C$5:$C$1000=$B$2,ROW(Auction!$C$5:$C$1000)-ROW(Auction!$C$5)+1),7)),"")</f>
        <v/>
      </c>
      <c r="D10" s="6">
        <f t="array" ref="D10">IFERROR(INDEX(Auction!$B$5:$B$1000,SMALL(IF(Auction!$C$5:$C$1000=$B$2,ROW(Auction!$C$5:$C$1000)-ROW(Auction!$C$5)+1),7)),"")</f>
        <v/>
      </c>
      <c r="F10" s="7" t="n">
        <v>7</v>
      </c>
      <c r="G10" s="5">
        <f t="array" ref="G10">IFERROR(INDEX(Auction!$A$5:$A$1000,SMALL(IF(Auction!$C$5:$C$1000=$F$2,ROW(Auction!$C$5:$C$1000)-ROW(Auction!$C$5)+1),7)),"")</f>
        <v/>
      </c>
      <c r="H10" s="6">
        <f t="array" ref="H10">IFERROR(INDEX(Auction!$B$5:$B$1000,SMALL(IF(Auction!$C$5:$C$1000=$F$2,ROW(Auction!$C$5:$C$1000)-ROW(Auction!$C$5)+1),7)),"")</f>
        <v/>
      </c>
      <c r="J10" s="7" t="n">
        <v>7</v>
      </c>
      <c r="K10" s="5">
        <f t="array" ref="K10">IFERROR(INDEX(Auction!$A$5:$A$1000,SMALL(IF(Auction!$C$5:$C$1000=$J$2,ROW(Auction!$C$5:$C$1000)-ROW(Auction!$C$5)+1),7)),"")</f>
        <v/>
      </c>
      <c r="L10" s="6">
        <f t="array" ref="L10">IFERROR(INDEX(Auction!$B$5:$B$1000,SMALL(IF(Auction!$C$5:$C$1000=$J$2,ROW(Auction!$C$5:$C$1000)-ROW(Auction!$C$5)+1),7)),"")</f>
        <v/>
      </c>
      <c r="N10" s="7" t="n">
        <v>7</v>
      </c>
      <c r="O10" s="5">
        <f t="array" ref="O10">IFERROR(INDEX(Auction!$A$5:$A$1000,SMALL(IF(Auction!$C$5:$C$1000=$N$2,ROW(Auction!$C$5:$C$1000)-ROW(Auction!$C$5)+1),7)),"")</f>
        <v/>
      </c>
      <c r="P10" s="6">
        <f t="array" ref="P10">IFERROR(INDEX(Auction!$B$5:$B$1000,SMALL(IF(Auction!$C$5:$C$1000=$N$2,ROW(Auction!$C$5:$C$1000)-ROW(Auction!$C$5)+1),7)),"")</f>
        <v/>
      </c>
      <c r="R10" s="7" t="n">
        <v>7</v>
      </c>
      <c r="S10" s="5">
        <f t="array" ref="S10">IFERROR(INDEX(Auction!$A$5:$A$1000,SMALL(IF(Auction!$C$5:$C$1000=$R$2,ROW(Auction!$C$5:$C$1000)-ROW(Auction!$C$5)+1),7)),"")</f>
        <v/>
      </c>
      <c r="T10" s="6">
        <f t="array" ref="T10">IFERROR(INDEX(Auction!$B$5:$B$1000,SMALL(IF(Auction!$C$5:$C$1000=$R$2,ROW(Auction!$C$5:$C$1000)-ROW(Auction!$C$5)+1),7)),"")</f>
        <v/>
      </c>
    </row>
    <row r="11">
      <c r="B11" s="10" t="n">
        <v>8</v>
      </c>
      <c r="C11" s="8">
        <f t="array" ref="C11">IFERROR(INDEX(Auction!$A$5:$A$1000,SMALL(IF(Auction!$C$5:$C$1000=$B$2,ROW(Auction!$C$5:$C$1000)-ROW(Auction!$C$5)+1),8)),"")</f>
        <v/>
      </c>
      <c r="D11" s="9">
        <f t="array" ref="D11">IFERROR(INDEX(Auction!$B$5:$B$1000,SMALL(IF(Auction!$C$5:$C$1000=$B$2,ROW(Auction!$C$5:$C$1000)-ROW(Auction!$C$5)+1),8)),"")</f>
        <v/>
      </c>
      <c r="F11" s="10" t="n">
        <v>8</v>
      </c>
      <c r="G11" s="8">
        <f t="array" ref="G11">IFERROR(INDEX(Auction!$A$5:$A$1000,SMALL(IF(Auction!$C$5:$C$1000=$F$2,ROW(Auction!$C$5:$C$1000)-ROW(Auction!$C$5)+1),8)),"")</f>
        <v/>
      </c>
      <c r="H11" s="9">
        <f t="array" ref="H11">IFERROR(INDEX(Auction!$B$5:$B$1000,SMALL(IF(Auction!$C$5:$C$1000=$F$2,ROW(Auction!$C$5:$C$1000)-ROW(Auction!$C$5)+1),8)),"")</f>
        <v/>
      </c>
      <c r="J11" s="10" t="n">
        <v>8</v>
      </c>
      <c r="K11" s="8">
        <f t="array" ref="K11">IFERROR(INDEX(Auction!$A$5:$A$1000,SMALL(IF(Auction!$C$5:$C$1000=$J$2,ROW(Auction!$C$5:$C$1000)-ROW(Auction!$C$5)+1),8)),"")</f>
        <v/>
      </c>
      <c r="L11" s="9">
        <f t="array" ref="L11">IFERROR(INDEX(Auction!$B$5:$B$1000,SMALL(IF(Auction!$C$5:$C$1000=$J$2,ROW(Auction!$C$5:$C$1000)-ROW(Auction!$C$5)+1),8)),"")</f>
        <v/>
      </c>
      <c r="N11" s="10" t="n">
        <v>8</v>
      </c>
      <c r="O11" s="8">
        <f t="array" ref="O11">IFERROR(INDEX(Auction!$A$5:$A$1000,SMALL(IF(Auction!$C$5:$C$1000=$N$2,ROW(Auction!$C$5:$C$1000)-ROW(Auction!$C$5)+1),8)),"")</f>
        <v/>
      </c>
      <c r="P11" s="9">
        <f t="array" ref="P11">IFERROR(INDEX(Auction!$B$5:$B$1000,SMALL(IF(Auction!$C$5:$C$1000=$N$2,ROW(Auction!$C$5:$C$1000)-ROW(Auction!$C$5)+1),8)),"")</f>
        <v/>
      </c>
      <c r="R11" s="10" t="n">
        <v>8</v>
      </c>
      <c r="S11" s="8">
        <f t="array" ref="S11">IFERROR(INDEX(Auction!$A$5:$A$1000,SMALL(IF(Auction!$C$5:$C$1000=$R$2,ROW(Auction!$C$5:$C$1000)-ROW(Auction!$C$5)+1),8)),"")</f>
        <v/>
      </c>
      <c r="T11" s="9">
        <f t="array" ref="T11">IFERROR(INDEX(Auction!$B$5:$B$1000,SMALL(IF(Auction!$C$5:$C$1000=$R$2,ROW(Auction!$C$5:$C$1000)-ROW(Auction!$C$5)+1),8)),"")</f>
        <v/>
      </c>
    </row>
    <row r="12">
      <c r="B12" s="7" t="n">
        <v>9</v>
      </c>
      <c r="C12" s="5">
        <f t="array" ref="C12">IFERROR(INDEX(Auction!$A$5:$A$1000,SMALL(IF(Auction!$C$5:$C$1000=$B$2,ROW(Auction!$C$5:$C$1000)-ROW(Auction!$C$5)+1),9)),"")</f>
        <v/>
      </c>
      <c r="D12" s="6">
        <f t="array" ref="D12">IFERROR(INDEX(Auction!$B$5:$B$1000,SMALL(IF(Auction!$C$5:$C$1000=$B$2,ROW(Auction!$C$5:$C$1000)-ROW(Auction!$C$5)+1),9)),"")</f>
        <v/>
      </c>
      <c r="F12" s="7" t="n">
        <v>9</v>
      </c>
      <c r="G12" s="5">
        <f t="array" ref="G12">IFERROR(INDEX(Auction!$A$5:$A$1000,SMALL(IF(Auction!$C$5:$C$1000=$F$2,ROW(Auction!$C$5:$C$1000)-ROW(Auction!$C$5)+1),9)),"")</f>
        <v/>
      </c>
      <c r="H12" s="6">
        <f t="array" ref="H12">IFERROR(INDEX(Auction!$B$5:$B$1000,SMALL(IF(Auction!$C$5:$C$1000=$F$2,ROW(Auction!$C$5:$C$1000)-ROW(Auction!$C$5)+1),9)),"")</f>
        <v/>
      </c>
      <c r="J12" s="7" t="n">
        <v>9</v>
      </c>
      <c r="K12" s="5">
        <f t="array" ref="K12">IFERROR(INDEX(Auction!$A$5:$A$1000,SMALL(IF(Auction!$C$5:$C$1000=$J$2,ROW(Auction!$C$5:$C$1000)-ROW(Auction!$C$5)+1),9)),"")</f>
        <v/>
      </c>
      <c r="L12" s="6">
        <f t="array" ref="L12">IFERROR(INDEX(Auction!$B$5:$B$1000,SMALL(IF(Auction!$C$5:$C$1000=$J$2,ROW(Auction!$C$5:$C$1000)-ROW(Auction!$C$5)+1),9)),"")</f>
        <v/>
      </c>
      <c r="N12" s="7" t="n">
        <v>9</v>
      </c>
      <c r="O12" s="5">
        <f t="array" ref="O12">IFERROR(INDEX(Auction!$A$5:$A$1000,SMALL(IF(Auction!$C$5:$C$1000=$N$2,ROW(Auction!$C$5:$C$1000)-ROW(Auction!$C$5)+1),9)),"")</f>
        <v/>
      </c>
      <c r="P12" s="6">
        <f t="array" ref="P12">IFERROR(INDEX(Auction!$B$5:$B$1000,SMALL(IF(Auction!$C$5:$C$1000=$N$2,ROW(Auction!$C$5:$C$1000)-ROW(Auction!$C$5)+1),9)),"")</f>
        <v/>
      </c>
      <c r="R12" s="7" t="n">
        <v>9</v>
      </c>
      <c r="S12" s="5">
        <f t="array" ref="S12">IFERROR(INDEX(Auction!$A$5:$A$1000,SMALL(IF(Auction!$C$5:$C$1000=$R$2,ROW(Auction!$C$5:$C$1000)-ROW(Auction!$C$5)+1),9)),"")</f>
        <v/>
      </c>
      <c r="T12" s="6">
        <f t="array" ref="T12">IFERROR(INDEX(Auction!$B$5:$B$1000,SMALL(IF(Auction!$C$5:$C$1000=$R$2,ROW(Auction!$C$5:$C$1000)-ROW(Auction!$C$5)+1),9)),"")</f>
        <v/>
      </c>
    </row>
    <row r="13">
      <c r="B13" s="10" t="n">
        <v>10</v>
      </c>
      <c r="C13" s="8">
        <f t="array" ref="C13">IFERROR(INDEX(Auction!$A$5:$A$1000,SMALL(IF(Auction!$C$5:$C$1000=$B$2,ROW(Auction!$C$5:$C$1000)-ROW(Auction!$C$5)+1),10)),"")</f>
        <v/>
      </c>
      <c r="D13" s="9">
        <f t="array" ref="D13">IFERROR(INDEX(Auction!$B$5:$B$1000,SMALL(IF(Auction!$C$5:$C$1000=$B$2,ROW(Auction!$C$5:$C$1000)-ROW(Auction!$C$5)+1),10)),"")</f>
        <v/>
      </c>
      <c r="F13" s="10" t="n">
        <v>10</v>
      </c>
      <c r="G13" s="8">
        <f t="array" ref="G13">IFERROR(INDEX(Auction!$A$5:$A$1000,SMALL(IF(Auction!$C$5:$C$1000=$F$2,ROW(Auction!$C$5:$C$1000)-ROW(Auction!$C$5)+1),10)),"")</f>
        <v/>
      </c>
      <c r="H13" s="9">
        <f t="array" ref="H13">IFERROR(INDEX(Auction!$B$5:$B$1000,SMALL(IF(Auction!$C$5:$C$1000=$F$2,ROW(Auction!$C$5:$C$1000)-ROW(Auction!$C$5)+1),10)),"")</f>
        <v/>
      </c>
      <c r="J13" s="10" t="n">
        <v>10</v>
      </c>
      <c r="K13" s="8">
        <f t="array" ref="K13">IFERROR(INDEX(Auction!$A$5:$A$1000,SMALL(IF(Auction!$C$5:$C$1000=$J$2,ROW(Auction!$C$5:$C$1000)-ROW(Auction!$C$5)+1),10)),"")</f>
        <v/>
      </c>
      <c r="L13" s="9">
        <f t="array" ref="L13">IFERROR(INDEX(Auction!$B$5:$B$1000,SMALL(IF(Auction!$C$5:$C$1000=$J$2,ROW(Auction!$C$5:$C$1000)-ROW(Auction!$C$5)+1),10)),"")</f>
        <v/>
      </c>
      <c r="N13" s="10" t="n">
        <v>10</v>
      </c>
      <c r="O13" s="8">
        <f t="array" ref="O13">IFERROR(INDEX(Auction!$A$5:$A$1000,SMALL(IF(Auction!$C$5:$C$1000=$N$2,ROW(Auction!$C$5:$C$1000)-ROW(Auction!$C$5)+1),10)),"")</f>
        <v/>
      </c>
      <c r="P13" s="9">
        <f t="array" ref="P13">IFERROR(INDEX(Auction!$B$5:$B$1000,SMALL(IF(Auction!$C$5:$C$1000=$N$2,ROW(Auction!$C$5:$C$1000)-ROW(Auction!$C$5)+1),10)),"")</f>
        <v/>
      </c>
      <c r="R13" s="10" t="n">
        <v>10</v>
      </c>
      <c r="S13" s="8">
        <f t="array" ref="S13">IFERROR(INDEX(Auction!$A$5:$A$1000,SMALL(IF(Auction!$C$5:$C$1000=$R$2,ROW(Auction!$C$5:$C$1000)-ROW(Auction!$C$5)+1),10)),"")</f>
        <v/>
      </c>
      <c r="T13" s="9">
        <f t="array" ref="T13">IFERROR(INDEX(Auction!$B$5:$B$1000,SMALL(IF(Auction!$C$5:$C$1000=$R$2,ROW(Auction!$C$5:$C$1000)-ROW(Auction!$C$5)+1),10)),"")</f>
        <v/>
      </c>
    </row>
    <row r="14">
      <c r="B14" s="7" t="n">
        <v>11</v>
      </c>
      <c r="C14" s="5">
        <f t="array" ref="C14">IFERROR(INDEX(Auction!$A$5:$A$1000,SMALL(IF(Auction!$C$5:$C$1000=$B$2,ROW(Auction!$C$5:$C$1000)-ROW(Auction!$C$5)+1),11)),"")</f>
        <v/>
      </c>
      <c r="D14" s="6">
        <f t="array" ref="D14">IFERROR(INDEX(Auction!$B$5:$B$1000,SMALL(IF(Auction!$C$5:$C$1000=$B$2,ROW(Auction!$C$5:$C$1000)-ROW(Auction!$C$5)+1),11)),"")</f>
        <v/>
      </c>
      <c r="F14" s="7" t="n">
        <v>11</v>
      </c>
      <c r="G14" s="5">
        <f t="array" ref="G14">IFERROR(INDEX(Auction!$A$5:$A$1000,SMALL(IF(Auction!$C$5:$C$1000=$F$2,ROW(Auction!$C$5:$C$1000)-ROW(Auction!$C$5)+1),11)),"")</f>
        <v/>
      </c>
      <c r="H14" s="6">
        <f t="array" ref="H14">IFERROR(INDEX(Auction!$B$5:$B$1000,SMALL(IF(Auction!$C$5:$C$1000=$F$2,ROW(Auction!$C$5:$C$1000)-ROW(Auction!$C$5)+1),11)),"")</f>
        <v/>
      </c>
      <c r="J14" s="7" t="n">
        <v>11</v>
      </c>
      <c r="K14" s="5">
        <f t="array" ref="K14">IFERROR(INDEX(Auction!$A$5:$A$1000,SMALL(IF(Auction!$C$5:$C$1000=$J$2,ROW(Auction!$C$5:$C$1000)-ROW(Auction!$C$5)+1),11)),"")</f>
        <v/>
      </c>
      <c r="L14" s="6">
        <f t="array" ref="L14">IFERROR(INDEX(Auction!$B$5:$B$1000,SMALL(IF(Auction!$C$5:$C$1000=$J$2,ROW(Auction!$C$5:$C$1000)-ROW(Auction!$C$5)+1),11)),"")</f>
        <v/>
      </c>
      <c r="N14" s="7" t="n">
        <v>11</v>
      </c>
      <c r="O14" s="5">
        <f t="array" ref="O14">IFERROR(INDEX(Auction!$A$5:$A$1000,SMALL(IF(Auction!$C$5:$C$1000=$N$2,ROW(Auction!$C$5:$C$1000)-ROW(Auction!$C$5)+1),11)),"")</f>
        <v/>
      </c>
      <c r="P14" s="6">
        <f t="array" ref="P14">IFERROR(INDEX(Auction!$B$5:$B$1000,SMALL(IF(Auction!$C$5:$C$1000=$N$2,ROW(Auction!$C$5:$C$1000)-ROW(Auction!$C$5)+1),11)),"")</f>
        <v/>
      </c>
      <c r="R14" s="7" t="n">
        <v>11</v>
      </c>
      <c r="S14" s="5">
        <f t="array" ref="S14">IFERROR(INDEX(Auction!$A$5:$A$1000,SMALL(IF(Auction!$C$5:$C$1000=$R$2,ROW(Auction!$C$5:$C$1000)-ROW(Auction!$C$5)+1),11)),"")</f>
        <v/>
      </c>
      <c r="T14" s="6">
        <f t="array" ref="T14">IFERROR(INDEX(Auction!$B$5:$B$1000,SMALL(IF(Auction!$C$5:$C$1000=$R$2,ROW(Auction!$C$5:$C$1000)-ROW(Auction!$C$5)+1),11)),"")</f>
        <v/>
      </c>
    </row>
    <row r="15">
      <c r="B15" s="10" t="n">
        <v>12</v>
      </c>
      <c r="C15" s="8">
        <f t="array" ref="C15">IFERROR(INDEX(Auction!$A$5:$A$1000,SMALL(IF(Auction!$C$5:$C$1000=$B$2,ROW(Auction!$C$5:$C$1000)-ROW(Auction!$C$5)+1),12)),"")</f>
        <v/>
      </c>
      <c r="D15" s="9">
        <f t="array" ref="D15">IFERROR(INDEX(Auction!$B$5:$B$1000,SMALL(IF(Auction!$C$5:$C$1000=$B$2,ROW(Auction!$C$5:$C$1000)-ROW(Auction!$C$5)+1),12)),"")</f>
        <v/>
      </c>
      <c r="F15" s="10" t="n">
        <v>12</v>
      </c>
      <c r="G15" s="8">
        <f t="array" ref="G15">IFERROR(INDEX(Auction!$A$5:$A$1000,SMALL(IF(Auction!$C$5:$C$1000=$F$2,ROW(Auction!$C$5:$C$1000)-ROW(Auction!$C$5)+1),12)),"")</f>
        <v/>
      </c>
      <c r="H15" s="9">
        <f t="array" ref="H15">IFERROR(INDEX(Auction!$B$5:$B$1000,SMALL(IF(Auction!$C$5:$C$1000=$F$2,ROW(Auction!$C$5:$C$1000)-ROW(Auction!$C$5)+1),12)),"")</f>
        <v/>
      </c>
      <c r="J15" s="10" t="n">
        <v>12</v>
      </c>
      <c r="K15" s="8">
        <f t="array" ref="K15">IFERROR(INDEX(Auction!$A$5:$A$1000,SMALL(IF(Auction!$C$5:$C$1000=$J$2,ROW(Auction!$C$5:$C$1000)-ROW(Auction!$C$5)+1),12)),"")</f>
        <v/>
      </c>
      <c r="L15" s="9">
        <f t="array" ref="L15">IFERROR(INDEX(Auction!$B$5:$B$1000,SMALL(IF(Auction!$C$5:$C$1000=$J$2,ROW(Auction!$C$5:$C$1000)-ROW(Auction!$C$5)+1),12)),"")</f>
        <v/>
      </c>
      <c r="N15" s="10" t="n">
        <v>12</v>
      </c>
      <c r="O15" s="8">
        <f t="array" ref="O15">IFERROR(INDEX(Auction!$A$5:$A$1000,SMALL(IF(Auction!$C$5:$C$1000=$N$2,ROW(Auction!$C$5:$C$1000)-ROW(Auction!$C$5)+1),12)),"")</f>
        <v/>
      </c>
      <c r="P15" s="9">
        <f t="array" ref="P15">IFERROR(INDEX(Auction!$B$5:$B$1000,SMALL(IF(Auction!$C$5:$C$1000=$N$2,ROW(Auction!$C$5:$C$1000)-ROW(Auction!$C$5)+1),12)),"")</f>
        <v/>
      </c>
      <c r="R15" s="10" t="n">
        <v>12</v>
      </c>
      <c r="S15" s="8">
        <f t="array" ref="S15">IFERROR(INDEX(Auction!$A$5:$A$1000,SMALL(IF(Auction!$C$5:$C$1000=$R$2,ROW(Auction!$C$5:$C$1000)-ROW(Auction!$C$5)+1),12)),"")</f>
        <v/>
      </c>
      <c r="T15" s="9">
        <f t="array" ref="T15">IFERROR(INDEX(Auction!$B$5:$B$1000,SMALL(IF(Auction!$C$5:$C$1000=$R$2,ROW(Auction!$C$5:$C$1000)-ROW(Auction!$C$5)+1),12)),"")</f>
        <v/>
      </c>
    </row>
    <row r="16">
      <c r="B16" s="7" t="n">
        <v>13</v>
      </c>
      <c r="C16" s="5">
        <f t="array" ref="C16">IFERROR(INDEX(Auction!$A$5:$A$1000,SMALL(IF(Auction!$C$5:$C$1000=$B$2,ROW(Auction!$C$5:$C$1000)-ROW(Auction!$C$5)+1),13)),"")</f>
        <v/>
      </c>
      <c r="D16" s="6">
        <f t="array" ref="D16">IFERROR(INDEX(Auction!$B$5:$B$1000,SMALL(IF(Auction!$C$5:$C$1000=$B$2,ROW(Auction!$C$5:$C$1000)-ROW(Auction!$C$5)+1),13)),"")</f>
        <v/>
      </c>
      <c r="F16" s="7" t="n">
        <v>13</v>
      </c>
      <c r="G16" s="5">
        <f t="array" ref="G16">IFERROR(INDEX(Auction!$A$5:$A$1000,SMALL(IF(Auction!$C$5:$C$1000=$F$2,ROW(Auction!$C$5:$C$1000)-ROW(Auction!$C$5)+1),13)),"")</f>
        <v/>
      </c>
      <c r="H16" s="6">
        <f t="array" ref="H16">IFERROR(INDEX(Auction!$B$5:$B$1000,SMALL(IF(Auction!$C$5:$C$1000=$F$2,ROW(Auction!$C$5:$C$1000)-ROW(Auction!$C$5)+1),13)),"")</f>
        <v/>
      </c>
      <c r="J16" s="7" t="n">
        <v>13</v>
      </c>
      <c r="K16" s="5">
        <f t="array" ref="K16">IFERROR(INDEX(Auction!$A$5:$A$1000,SMALL(IF(Auction!$C$5:$C$1000=$J$2,ROW(Auction!$C$5:$C$1000)-ROW(Auction!$C$5)+1),13)),"")</f>
        <v/>
      </c>
      <c r="L16" s="6">
        <f t="array" ref="L16">IFERROR(INDEX(Auction!$B$5:$B$1000,SMALL(IF(Auction!$C$5:$C$1000=$J$2,ROW(Auction!$C$5:$C$1000)-ROW(Auction!$C$5)+1),13)),"")</f>
        <v/>
      </c>
      <c r="N16" s="7" t="n">
        <v>13</v>
      </c>
      <c r="O16" s="5">
        <f t="array" ref="O16">IFERROR(INDEX(Auction!$A$5:$A$1000,SMALL(IF(Auction!$C$5:$C$1000=$N$2,ROW(Auction!$C$5:$C$1000)-ROW(Auction!$C$5)+1),13)),"")</f>
        <v/>
      </c>
      <c r="P16" s="6">
        <f t="array" ref="P16">IFERROR(INDEX(Auction!$B$5:$B$1000,SMALL(IF(Auction!$C$5:$C$1000=$N$2,ROW(Auction!$C$5:$C$1000)-ROW(Auction!$C$5)+1),13)),"")</f>
        <v/>
      </c>
      <c r="R16" s="7" t="n">
        <v>13</v>
      </c>
      <c r="S16" s="5">
        <f t="array" ref="S16">IFERROR(INDEX(Auction!$A$5:$A$1000,SMALL(IF(Auction!$C$5:$C$1000=$R$2,ROW(Auction!$C$5:$C$1000)-ROW(Auction!$C$5)+1),13)),"")</f>
        <v/>
      </c>
      <c r="T16" s="6">
        <f t="array" ref="T16">IFERROR(INDEX(Auction!$B$5:$B$1000,SMALL(IF(Auction!$C$5:$C$1000=$R$2,ROW(Auction!$C$5:$C$1000)-ROW(Auction!$C$5)+1),13)),"")</f>
        <v/>
      </c>
    </row>
    <row r="17">
      <c r="B17" s="10" t="n">
        <v>14</v>
      </c>
      <c r="C17" s="8">
        <f t="array" ref="C17">IFERROR(INDEX(Auction!$A$5:$A$1000,SMALL(IF(Auction!$C$5:$C$1000=$B$2,ROW(Auction!$C$5:$C$1000)-ROW(Auction!$C$5)+1),14)),"")</f>
        <v/>
      </c>
      <c r="D17" s="9">
        <f t="array" ref="D17">IFERROR(INDEX(Auction!$B$5:$B$1000,SMALL(IF(Auction!$C$5:$C$1000=$B$2,ROW(Auction!$C$5:$C$1000)-ROW(Auction!$C$5)+1),14)),"")</f>
        <v/>
      </c>
      <c r="F17" s="10" t="n">
        <v>14</v>
      </c>
      <c r="G17" s="8">
        <f t="array" ref="G17">IFERROR(INDEX(Auction!$A$5:$A$1000,SMALL(IF(Auction!$C$5:$C$1000=$F$2,ROW(Auction!$C$5:$C$1000)-ROW(Auction!$C$5)+1),14)),"")</f>
        <v/>
      </c>
      <c r="H17" s="9">
        <f t="array" ref="H17">IFERROR(INDEX(Auction!$B$5:$B$1000,SMALL(IF(Auction!$C$5:$C$1000=$F$2,ROW(Auction!$C$5:$C$1000)-ROW(Auction!$C$5)+1),14)),"")</f>
        <v/>
      </c>
      <c r="J17" s="10" t="n">
        <v>14</v>
      </c>
      <c r="K17" s="8">
        <f t="array" ref="K17">IFERROR(INDEX(Auction!$A$5:$A$1000,SMALL(IF(Auction!$C$5:$C$1000=$J$2,ROW(Auction!$C$5:$C$1000)-ROW(Auction!$C$5)+1),14)),"")</f>
        <v/>
      </c>
      <c r="L17" s="9">
        <f t="array" ref="L17">IFERROR(INDEX(Auction!$B$5:$B$1000,SMALL(IF(Auction!$C$5:$C$1000=$J$2,ROW(Auction!$C$5:$C$1000)-ROW(Auction!$C$5)+1),14)),"")</f>
        <v/>
      </c>
      <c r="N17" s="10" t="n">
        <v>14</v>
      </c>
      <c r="O17" s="8">
        <f t="array" ref="O17">IFERROR(INDEX(Auction!$A$5:$A$1000,SMALL(IF(Auction!$C$5:$C$1000=$N$2,ROW(Auction!$C$5:$C$1000)-ROW(Auction!$C$5)+1),14)),"")</f>
        <v/>
      </c>
      <c r="P17" s="9">
        <f t="array" ref="P17">IFERROR(INDEX(Auction!$B$5:$B$1000,SMALL(IF(Auction!$C$5:$C$1000=$N$2,ROW(Auction!$C$5:$C$1000)-ROW(Auction!$C$5)+1),14)),"")</f>
        <v/>
      </c>
      <c r="R17" s="10" t="n">
        <v>14</v>
      </c>
      <c r="S17" s="8">
        <f t="array" ref="S17">IFERROR(INDEX(Auction!$A$5:$A$1000,SMALL(IF(Auction!$C$5:$C$1000=$R$2,ROW(Auction!$C$5:$C$1000)-ROW(Auction!$C$5)+1),14)),"")</f>
        <v/>
      </c>
      <c r="T17" s="9">
        <f t="array" ref="T17">IFERROR(INDEX(Auction!$B$5:$B$1000,SMALL(IF(Auction!$C$5:$C$1000=$R$2,ROW(Auction!$C$5:$C$1000)-ROW(Auction!$C$5)+1),14)),"")</f>
        <v/>
      </c>
    </row>
    <row r="18">
      <c r="B18" s="7" t="n">
        <v>15</v>
      </c>
      <c r="C18" s="5">
        <f t="array" ref="C18">IFERROR(INDEX(Auction!$A$5:$A$1000,SMALL(IF(Auction!$C$5:$C$1000=$B$2,ROW(Auction!$C$5:$C$1000)-ROW(Auction!$C$5)+1),15)),"")</f>
        <v/>
      </c>
      <c r="D18" s="6">
        <f t="array" ref="D18">IFERROR(INDEX(Auction!$B$5:$B$1000,SMALL(IF(Auction!$C$5:$C$1000=$B$2,ROW(Auction!$C$5:$C$1000)-ROW(Auction!$C$5)+1),15)),"")</f>
        <v/>
      </c>
      <c r="F18" s="7" t="n">
        <v>15</v>
      </c>
      <c r="G18" s="5">
        <f t="array" ref="G18">IFERROR(INDEX(Auction!$A$5:$A$1000,SMALL(IF(Auction!$C$5:$C$1000=$F$2,ROW(Auction!$C$5:$C$1000)-ROW(Auction!$C$5)+1),15)),"")</f>
        <v/>
      </c>
      <c r="H18" s="6">
        <f t="array" ref="H18">IFERROR(INDEX(Auction!$B$5:$B$1000,SMALL(IF(Auction!$C$5:$C$1000=$F$2,ROW(Auction!$C$5:$C$1000)-ROW(Auction!$C$5)+1),15)),"")</f>
        <v/>
      </c>
      <c r="J18" s="7" t="n">
        <v>15</v>
      </c>
      <c r="K18" s="5">
        <f t="array" ref="K18">IFERROR(INDEX(Auction!$A$5:$A$1000,SMALL(IF(Auction!$C$5:$C$1000=$J$2,ROW(Auction!$C$5:$C$1000)-ROW(Auction!$C$5)+1),15)),"")</f>
        <v/>
      </c>
      <c r="L18" s="6">
        <f t="array" ref="L18">IFERROR(INDEX(Auction!$B$5:$B$1000,SMALL(IF(Auction!$C$5:$C$1000=$J$2,ROW(Auction!$C$5:$C$1000)-ROW(Auction!$C$5)+1),15)),"")</f>
        <v/>
      </c>
      <c r="N18" s="7" t="n">
        <v>15</v>
      </c>
      <c r="O18" s="5">
        <f t="array" ref="O18">IFERROR(INDEX(Auction!$A$5:$A$1000,SMALL(IF(Auction!$C$5:$C$1000=$N$2,ROW(Auction!$C$5:$C$1000)-ROW(Auction!$C$5)+1),15)),"")</f>
        <v/>
      </c>
      <c r="P18" s="6">
        <f t="array" ref="P18">IFERROR(INDEX(Auction!$B$5:$B$1000,SMALL(IF(Auction!$C$5:$C$1000=$N$2,ROW(Auction!$C$5:$C$1000)-ROW(Auction!$C$5)+1),15)),"")</f>
        <v/>
      </c>
      <c r="R18" s="7" t="n">
        <v>15</v>
      </c>
      <c r="S18" s="5">
        <f t="array" ref="S18">IFERROR(INDEX(Auction!$A$5:$A$1000,SMALL(IF(Auction!$C$5:$C$1000=$R$2,ROW(Auction!$C$5:$C$1000)-ROW(Auction!$C$5)+1),15)),"")</f>
        <v/>
      </c>
      <c r="T18" s="6">
        <f t="array" ref="T18">IFERROR(INDEX(Auction!$B$5:$B$1000,SMALL(IF(Auction!$C$5:$C$1000=$R$2,ROW(Auction!$C$5:$C$1000)-ROW(Auction!$C$5)+1),15)),"")</f>
        <v/>
      </c>
    </row>
    <row r="19">
      <c r="B19" s="17" t="inlineStr">
        <is>
          <t>Total Amount Spent</t>
        </is>
      </c>
      <c r="D19" s="18">
        <f>Balance!$C$4</f>
        <v/>
      </c>
      <c r="F19" s="17" t="inlineStr">
        <is>
          <t>Total Amount Spent</t>
        </is>
      </c>
      <c r="H19" s="18">
        <f>Balance!$C$5</f>
        <v/>
      </c>
      <c r="J19" s="17" t="inlineStr">
        <is>
          <t>Total Amount Spent</t>
        </is>
      </c>
      <c r="L19" s="18">
        <f>Balance!$C$6</f>
        <v/>
      </c>
      <c r="N19" s="17" t="inlineStr">
        <is>
          <t>Total Amount Spent</t>
        </is>
      </c>
      <c r="P19" s="18">
        <f>Balance!$C$7</f>
        <v/>
      </c>
      <c r="R19" s="17" t="inlineStr">
        <is>
          <t>Total Amount Spent</t>
        </is>
      </c>
      <c r="T19" s="18">
        <f>Balance!$C$8</f>
        <v/>
      </c>
    </row>
    <row r="20">
      <c r="B20" s="19" t="inlineStr">
        <is>
          <t>Total Amount Left</t>
        </is>
      </c>
      <c r="D20" s="20">
        <f>Balance!$D$4</f>
        <v/>
      </c>
      <c r="F20" s="19" t="inlineStr">
        <is>
          <t>Total Amount Left</t>
        </is>
      </c>
      <c r="H20" s="20">
        <f>Balance!$D$5</f>
        <v/>
      </c>
      <c r="J20" s="19" t="inlineStr">
        <is>
          <t>Total Amount Left</t>
        </is>
      </c>
      <c r="L20" s="20">
        <f>Balance!$D$6</f>
        <v/>
      </c>
      <c r="N20" s="19" t="inlineStr">
        <is>
          <t>Total Amount Left</t>
        </is>
      </c>
      <c r="P20" s="20">
        <f>Balance!$D$7</f>
        <v/>
      </c>
      <c r="R20" s="19" t="inlineStr">
        <is>
          <t>Total Amount Left</t>
        </is>
      </c>
      <c r="T20" s="20">
        <f>Balance!$D$8</f>
        <v/>
      </c>
    </row>
    <row r="21">
      <c r="B21" s="21" t="inlineStr">
        <is>
          <t>Total Amount</t>
        </is>
      </c>
      <c r="D21" s="14">
        <f>Balance!$B$4</f>
        <v/>
      </c>
      <c r="F21" s="21" t="inlineStr">
        <is>
          <t>Total Amount</t>
        </is>
      </c>
      <c r="H21" s="14">
        <f>Balance!$B$5</f>
        <v/>
      </c>
      <c r="J21" s="21" t="inlineStr">
        <is>
          <t>Total Amount</t>
        </is>
      </c>
      <c r="L21" s="14">
        <f>Balance!$B$6</f>
        <v/>
      </c>
      <c r="N21" s="21" t="inlineStr">
        <is>
          <t>Total Amount</t>
        </is>
      </c>
      <c r="P21" s="14">
        <f>Balance!$B$7</f>
        <v/>
      </c>
      <c r="R21" s="21" t="inlineStr">
        <is>
          <t>Total Amount</t>
        </is>
      </c>
      <c r="T21" s="14">
        <f>Balance!$B$8</f>
        <v/>
      </c>
    </row>
    <row r="23" ht="22" customHeight="1">
      <c r="B23" s="16">
        <f>Balance!$A$9</f>
        <v/>
      </c>
      <c r="F23" s="16">
        <f>Balance!$A$10</f>
        <v/>
      </c>
      <c r="J23" s="16">
        <f>Balance!$A$11</f>
        <v/>
      </c>
      <c r="N23" s="16">
        <f>Balance!$A$12</f>
        <v/>
      </c>
      <c r="R23" s="16">
        <f>Balance!$A$13</f>
        <v/>
      </c>
    </row>
    <row r="24">
      <c r="B24" s="3" t="inlineStr">
        <is>
          <t>S.No</t>
        </is>
      </c>
      <c r="C24" s="3" t="inlineStr">
        <is>
          <t>Player Name</t>
        </is>
      </c>
      <c r="D24" s="3" t="inlineStr">
        <is>
          <t>Amount</t>
        </is>
      </c>
      <c r="F24" s="3" t="inlineStr">
        <is>
          <t>S.No</t>
        </is>
      </c>
      <c r="G24" s="3" t="inlineStr">
        <is>
          <t>Player Name</t>
        </is>
      </c>
      <c r="H24" s="3" t="inlineStr">
        <is>
          <t>Amount</t>
        </is>
      </c>
      <c r="J24" s="3" t="inlineStr">
        <is>
          <t>S.No</t>
        </is>
      </c>
      <c r="K24" s="3" t="inlineStr">
        <is>
          <t>Player Name</t>
        </is>
      </c>
      <c r="L24" s="3" t="inlineStr">
        <is>
          <t>Amount</t>
        </is>
      </c>
      <c r="N24" s="3" t="inlineStr">
        <is>
          <t>S.No</t>
        </is>
      </c>
      <c r="O24" s="3" t="inlineStr">
        <is>
          <t>Player Name</t>
        </is>
      </c>
      <c r="P24" s="3" t="inlineStr">
        <is>
          <t>Amount</t>
        </is>
      </c>
      <c r="R24" s="3" t="inlineStr">
        <is>
          <t>S.No</t>
        </is>
      </c>
      <c r="S24" s="3" t="inlineStr">
        <is>
          <t>Player Name</t>
        </is>
      </c>
      <c r="T24" s="3" t="inlineStr">
        <is>
          <t>Amount</t>
        </is>
      </c>
    </row>
    <row r="25">
      <c r="B25" s="7" t="n">
        <v>1</v>
      </c>
      <c r="C25" s="5">
        <f t="array" ref="C25">IFERROR(INDEX(Auction!$A$5:$A$1000,SMALL(IF(Auction!$C$5:$C$1000=$B$23,ROW(Auction!$C$5:$C$1000)-ROW(Auction!$C$5)+1),1)),"")</f>
        <v/>
      </c>
      <c r="D25" s="6">
        <f t="array" ref="D25">IFERROR(INDEX(Auction!$B$5:$B$1000,SMALL(IF(Auction!$C$5:$C$1000=$B$23,ROW(Auction!$C$5:$C$1000)-ROW(Auction!$C$5)+1),1)),"")</f>
        <v/>
      </c>
      <c r="F25" s="7" t="n">
        <v>1</v>
      </c>
      <c r="G25" s="5">
        <f t="array" ref="G25">IFERROR(INDEX(Auction!$A$5:$A$1000,SMALL(IF(Auction!$C$5:$C$1000=$F$23,ROW(Auction!$C$5:$C$1000)-ROW(Auction!$C$5)+1),1)),"")</f>
        <v/>
      </c>
      <c r="H25" s="6">
        <f t="array" ref="H25">IFERROR(INDEX(Auction!$B$5:$B$1000,SMALL(IF(Auction!$C$5:$C$1000=$F$23,ROW(Auction!$C$5:$C$1000)-ROW(Auction!$C$5)+1),1)),"")</f>
        <v/>
      </c>
      <c r="J25" s="7" t="n">
        <v>1</v>
      </c>
      <c r="K25" s="5">
        <f t="array" ref="K25">IFERROR(INDEX(Auction!$A$5:$A$1000,SMALL(IF(Auction!$C$5:$C$1000=$J$23,ROW(Auction!$C$5:$C$1000)-ROW(Auction!$C$5)+1),1)),"")</f>
        <v/>
      </c>
      <c r="L25" s="6">
        <f t="array" ref="L25">IFERROR(INDEX(Auction!$B$5:$B$1000,SMALL(IF(Auction!$C$5:$C$1000=$J$23,ROW(Auction!$C$5:$C$1000)-ROW(Auction!$C$5)+1),1)),"")</f>
        <v/>
      </c>
      <c r="N25" s="7" t="n">
        <v>1</v>
      </c>
      <c r="O25" s="5">
        <f t="array" ref="O25">IFERROR(INDEX(Auction!$A$5:$A$1000,SMALL(IF(Auction!$C$5:$C$1000=$N$23,ROW(Auction!$C$5:$C$1000)-ROW(Auction!$C$5)+1),1)),"")</f>
        <v/>
      </c>
      <c r="P25" s="6">
        <f t="array" ref="P25">IFERROR(INDEX(Auction!$B$5:$B$1000,SMALL(IF(Auction!$C$5:$C$1000=$N$23,ROW(Auction!$C$5:$C$1000)-ROW(Auction!$C$5)+1),1)),"")</f>
        <v/>
      </c>
      <c r="R25" s="7" t="n">
        <v>1</v>
      </c>
      <c r="S25" s="5">
        <f t="array" ref="S25">IFERROR(INDEX(Auction!$A$5:$A$1000,SMALL(IF(Auction!$C$5:$C$1000=$R$23,ROW(Auction!$C$5:$C$1000)-ROW(Auction!$C$5)+1),1)),"")</f>
        <v/>
      </c>
      <c r="T25" s="6">
        <f t="array" ref="T25">IFERROR(INDEX(Auction!$B$5:$B$1000,SMALL(IF(Auction!$C$5:$C$1000=$R$23,ROW(Auction!$C$5:$C$1000)-ROW(Auction!$C$5)+1),1)),"")</f>
        <v/>
      </c>
    </row>
    <row r="26">
      <c r="B26" s="10" t="n">
        <v>2</v>
      </c>
      <c r="C26" s="8">
        <f t="array" ref="C26">IFERROR(INDEX(Auction!$A$5:$A$1000,SMALL(IF(Auction!$C$5:$C$1000=$B$23,ROW(Auction!$C$5:$C$1000)-ROW(Auction!$C$5)+1),2)),"")</f>
        <v/>
      </c>
      <c r="D26" s="9">
        <f t="array" ref="D26">IFERROR(INDEX(Auction!$B$5:$B$1000,SMALL(IF(Auction!$C$5:$C$1000=$B$23,ROW(Auction!$C$5:$C$1000)-ROW(Auction!$C$5)+1),2)),"")</f>
        <v/>
      </c>
      <c r="F26" s="10" t="n">
        <v>2</v>
      </c>
      <c r="G26" s="8">
        <f t="array" ref="G26">IFERROR(INDEX(Auction!$A$5:$A$1000,SMALL(IF(Auction!$C$5:$C$1000=$F$23,ROW(Auction!$C$5:$C$1000)-ROW(Auction!$C$5)+1),2)),"")</f>
        <v/>
      </c>
      <c r="H26" s="9">
        <f t="array" ref="H26">IFERROR(INDEX(Auction!$B$5:$B$1000,SMALL(IF(Auction!$C$5:$C$1000=$F$23,ROW(Auction!$C$5:$C$1000)-ROW(Auction!$C$5)+1),2)),"")</f>
        <v/>
      </c>
      <c r="J26" s="10" t="n">
        <v>2</v>
      </c>
      <c r="K26" s="8">
        <f t="array" ref="K26">IFERROR(INDEX(Auction!$A$5:$A$1000,SMALL(IF(Auction!$C$5:$C$1000=$J$23,ROW(Auction!$C$5:$C$1000)-ROW(Auction!$C$5)+1),2)),"")</f>
        <v/>
      </c>
      <c r="L26" s="9">
        <f t="array" ref="L26">IFERROR(INDEX(Auction!$B$5:$B$1000,SMALL(IF(Auction!$C$5:$C$1000=$J$23,ROW(Auction!$C$5:$C$1000)-ROW(Auction!$C$5)+1),2)),"")</f>
        <v/>
      </c>
      <c r="N26" s="10" t="n">
        <v>2</v>
      </c>
      <c r="O26" s="8">
        <f t="array" ref="O26">IFERROR(INDEX(Auction!$A$5:$A$1000,SMALL(IF(Auction!$C$5:$C$1000=$N$23,ROW(Auction!$C$5:$C$1000)-ROW(Auction!$C$5)+1),2)),"")</f>
        <v/>
      </c>
      <c r="P26" s="9">
        <f t="array" ref="P26">IFERROR(INDEX(Auction!$B$5:$B$1000,SMALL(IF(Auction!$C$5:$C$1000=$N$23,ROW(Auction!$C$5:$C$1000)-ROW(Auction!$C$5)+1),2)),"")</f>
        <v/>
      </c>
      <c r="R26" s="10" t="n">
        <v>2</v>
      </c>
      <c r="S26" s="8">
        <f t="array" ref="S26">IFERROR(INDEX(Auction!$A$5:$A$1000,SMALL(IF(Auction!$C$5:$C$1000=$R$23,ROW(Auction!$C$5:$C$1000)-ROW(Auction!$C$5)+1),2)),"")</f>
        <v/>
      </c>
      <c r="T26" s="9">
        <f t="array" ref="T26">IFERROR(INDEX(Auction!$B$5:$B$1000,SMALL(IF(Auction!$C$5:$C$1000=$R$23,ROW(Auction!$C$5:$C$1000)-ROW(Auction!$C$5)+1),2)),"")</f>
        <v/>
      </c>
    </row>
    <row r="27">
      <c r="B27" s="7" t="n">
        <v>3</v>
      </c>
      <c r="C27" s="5">
        <f t="array" ref="C27">IFERROR(INDEX(Auction!$A$5:$A$1000,SMALL(IF(Auction!$C$5:$C$1000=$B$23,ROW(Auction!$C$5:$C$1000)-ROW(Auction!$C$5)+1),3)),"")</f>
        <v/>
      </c>
      <c r="D27" s="6">
        <f t="array" ref="D27">IFERROR(INDEX(Auction!$B$5:$B$1000,SMALL(IF(Auction!$C$5:$C$1000=$B$23,ROW(Auction!$C$5:$C$1000)-ROW(Auction!$C$5)+1),3)),"")</f>
        <v/>
      </c>
      <c r="F27" s="7" t="n">
        <v>3</v>
      </c>
      <c r="G27" s="5">
        <f t="array" ref="G27">IFERROR(INDEX(Auction!$A$5:$A$1000,SMALL(IF(Auction!$C$5:$C$1000=$F$23,ROW(Auction!$C$5:$C$1000)-ROW(Auction!$C$5)+1),3)),"")</f>
        <v/>
      </c>
      <c r="H27" s="6">
        <f t="array" ref="H27">IFERROR(INDEX(Auction!$B$5:$B$1000,SMALL(IF(Auction!$C$5:$C$1000=$F$23,ROW(Auction!$C$5:$C$1000)-ROW(Auction!$C$5)+1),3)),"")</f>
        <v/>
      </c>
      <c r="J27" s="7" t="n">
        <v>3</v>
      </c>
      <c r="K27" s="5">
        <f t="array" ref="K27">IFERROR(INDEX(Auction!$A$5:$A$1000,SMALL(IF(Auction!$C$5:$C$1000=$J$23,ROW(Auction!$C$5:$C$1000)-ROW(Auction!$C$5)+1),3)),"")</f>
        <v/>
      </c>
      <c r="L27" s="6">
        <f t="array" ref="L27">IFERROR(INDEX(Auction!$B$5:$B$1000,SMALL(IF(Auction!$C$5:$C$1000=$J$23,ROW(Auction!$C$5:$C$1000)-ROW(Auction!$C$5)+1),3)),"")</f>
        <v/>
      </c>
      <c r="N27" s="7" t="n">
        <v>3</v>
      </c>
      <c r="O27" s="5">
        <f t="array" ref="O27">IFERROR(INDEX(Auction!$A$5:$A$1000,SMALL(IF(Auction!$C$5:$C$1000=$N$23,ROW(Auction!$C$5:$C$1000)-ROW(Auction!$C$5)+1),3)),"")</f>
        <v/>
      </c>
      <c r="P27" s="6">
        <f t="array" ref="P27">IFERROR(INDEX(Auction!$B$5:$B$1000,SMALL(IF(Auction!$C$5:$C$1000=$N$23,ROW(Auction!$C$5:$C$1000)-ROW(Auction!$C$5)+1),3)),"")</f>
        <v/>
      </c>
      <c r="R27" s="7" t="n">
        <v>3</v>
      </c>
      <c r="S27" s="5">
        <f t="array" ref="S27">IFERROR(INDEX(Auction!$A$5:$A$1000,SMALL(IF(Auction!$C$5:$C$1000=$R$23,ROW(Auction!$C$5:$C$1000)-ROW(Auction!$C$5)+1),3)),"")</f>
        <v/>
      </c>
      <c r="T27" s="6">
        <f t="array" ref="T27">IFERROR(INDEX(Auction!$B$5:$B$1000,SMALL(IF(Auction!$C$5:$C$1000=$R$23,ROW(Auction!$C$5:$C$1000)-ROW(Auction!$C$5)+1),3)),"")</f>
        <v/>
      </c>
    </row>
    <row r="28">
      <c r="B28" s="10" t="n">
        <v>4</v>
      </c>
      <c r="C28" s="8">
        <f t="array" ref="C28">IFERROR(INDEX(Auction!$A$5:$A$1000,SMALL(IF(Auction!$C$5:$C$1000=$B$23,ROW(Auction!$C$5:$C$1000)-ROW(Auction!$C$5)+1),4)),"")</f>
        <v/>
      </c>
      <c r="D28" s="9">
        <f t="array" ref="D28">IFERROR(INDEX(Auction!$B$5:$B$1000,SMALL(IF(Auction!$C$5:$C$1000=$B$23,ROW(Auction!$C$5:$C$1000)-ROW(Auction!$C$5)+1),4)),"")</f>
        <v/>
      </c>
      <c r="F28" s="10" t="n">
        <v>4</v>
      </c>
      <c r="G28" s="8">
        <f t="array" ref="G28">IFERROR(INDEX(Auction!$A$5:$A$1000,SMALL(IF(Auction!$C$5:$C$1000=$F$23,ROW(Auction!$C$5:$C$1000)-ROW(Auction!$C$5)+1),4)),"")</f>
        <v/>
      </c>
      <c r="H28" s="9">
        <f t="array" ref="H28">IFERROR(INDEX(Auction!$B$5:$B$1000,SMALL(IF(Auction!$C$5:$C$1000=$F$23,ROW(Auction!$C$5:$C$1000)-ROW(Auction!$C$5)+1),4)),"")</f>
        <v/>
      </c>
      <c r="J28" s="10" t="n">
        <v>4</v>
      </c>
      <c r="K28" s="8">
        <f t="array" ref="K28">IFERROR(INDEX(Auction!$A$5:$A$1000,SMALL(IF(Auction!$C$5:$C$1000=$J$23,ROW(Auction!$C$5:$C$1000)-ROW(Auction!$C$5)+1),4)),"")</f>
        <v/>
      </c>
      <c r="L28" s="9">
        <f t="array" ref="L28">IFERROR(INDEX(Auction!$B$5:$B$1000,SMALL(IF(Auction!$C$5:$C$1000=$J$23,ROW(Auction!$C$5:$C$1000)-ROW(Auction!$C$5)+1),4)),"")</f>
        <v/>
      </c>
      <c r="N28" s="10" t="n">
        <v>4</v>
      </c>
      <c r="O28" s="8">
        <f t="array" ref="O28">IFERROR(INDEX(Auction!$A$5:$A$1000,SMALL(IF(Auction!$C$5:$C$1000=$N$23,ROW(Auction!$C$5:$C$1000)-ROW(Auction!$C$5)+1),4)),"")</f>
        <v/>
      </c>
      <c r="P28" s="9">
        <f t="array" ref="P28">IFERROR(INDEX(Auction!$B$5:$B$1000,SMALL(IF(Auction!$C$5:$C$1000=$N$23,ROW(Auction!$C$5:$C$1000)-ROW(Auction!$C$5)+1),4)),"")</f>
        <v/>
      </c>
      <c r="R28" s="10" t="n">
        <v>4</v>
      </c>
      <c r="S28" s="8">
        <f t="array" ref="S28">IFERROR(INDEX(Auction!$A$5:$A$1000,SMALL(IF(Auction!$C$5:$C$1000=$R$23,ROW(Auction!$C$5:$C$1000)-ROW(Auction!$C$5)+1),4)),"")</f>
        <v/>
      </c>
      <c r="T28" s="9">
        <f t="array" ref="T28">IFERROR(INDEX(Auction!$B$5:$B$1000,SMALL(IF(Auction!$C$5:$C$1000=$R$23,ROW(Auction!$C$5:$C$1000)-ROW(Auction!$C$5)+1),4)),"")</f>
        <v/>
      </c>
    </row>
    <row r="29">
      <c r="B29" s="7" t="n">
        <v>5</v>
      </c>
      <c r="C29" s="5">
        <f t="array" ref="C29">IFERROR(INDEX(Auction!$A$5:$A$1000,SMALL(IF(Auction!$C$5:$C$1000=$B$23,ROW(Auction!$C$5:$C$1000)-ROW(Auction!$C$5)+1),5)),"")</f>
        <v/>
      </c>
      <c r="D29" s="6">
        <f t="array" ref="D29">IFERROR(INDEX(Auction!$B$5:$B$1000,SMALL(IF(Auction!$C$5:$C$1000=$B$23,ROW(Auction!$C$5:$C$1000)-ROW(Auction!$C$5)+1),5)),"")</f>
        <v/>
      </c>
      <c r="F29" s="7" t="n">
        <v>5</v>
      </c>
      <c r="G29" s="5">
        <f t="array" ref="G29">IFERROR(INDEX(Auction!$A$5:$A$1000,SMALL(IF(Auction!$C$5:$C$1000=$F$23,ROW(Auction!$C$5:$C$1000)-ROW(Auction!$C$5)+1),5)),"")</f>
        <v/>
      </c>
      <c r="H29" s="6">
        <f t="array" ref="H29">IFERROR(INDEX(Auction!$B$5:$B$1000,SMALL(IF(Auction!$C$5:$C$1000=$F$23,ROW(Auction!$C$5:$C$1000)-ROW(Auction!$C$5)+1),5)),"")</f>
        <v/>
      </c>
      <c r="J29" s="7" t="n">
        <v>5</v>
      </c>
      <c r="K29" s="5">
        <f t="array" ref="K29">IFERROR(INDEX(Auction!$A$5:$A$1000,SMALL(IF(Auction!$C$5:$C$1000=$J$23,ROW(Auction!$C$5:$C$1000)-ROW(Auction!$C$5)+1),5)),"")</f>
        <v/>
      </c>
      <c r="L29" s="6">
        <f t="array" ref="L29">IFERROR(INDEX(Auction!$B$5:$B$1000,SMALL(IF(Auction!$C$5:$C$1000=$J$23,ROW(Auction!$C$5:$C$1000)-ROW(Auction!$C$5)+1),5)),"")</f>
        <v/>
      </c>
      <c r="N29" s="7" t="n">
        <v>5</v>
      </c>
      <c r="O29" s="5">
        <f t="array" ref="O29">IFERROR(INDEX(Auction!$A$5:$A$1000,SMALL(IF(Auction!$C$5:$C$1000=$N$23,ROW(Auction!$C$5:$C$1000)-ROW(Auction!$C$5)+1),5)),"")</f>
        <v/>
      </c>
      <c r="P29" s="6">
        <f t="array" ref="P29">IFERROR(INDEX(Auction!$B$5:$B$1000,SMALL(IF(Auction!$C$5:$C$1000=$N$23,ROW(Auction!$C$5:$C$1000)-ROW(Auction!$C$5)+1),5)),"")</f>
        <v/>
      </c>
      <c r="R29" s="7" t="n">
        <v>5</v>
      </c>
      <c r="S29" s="5">
        <f t="array" ref="S29">IFERROR(INDEX(Auction!$A$5:$A$1000,SMALL(IF(Auction!$C$5:$C$1000=$R$23,ROW(Auction!$C$5:$C$1000)-ROW(Auction!$C$5)+1),5)),"")</f>
        <v/>
      </c>
      <c r="T29" s="6">
        <f t="array" ref="T29">IFERROR(INDEX(Auction!$B$5:$B$1000,SMALL(IF(Auction!$C$5:$C$1000=$R$23,ROW(Auction!$C$5:$C$1000)-ROW(Auction!$C$5)+1),5)),"")</f>
        <v/>
      </c>
    </row>
    <row r="30">
      <c r="B30" s="10" t="n">
        <v>6</v>
      </c>
      <c r="C30" s="8">
        <f t="array" ref="C30">IFERROR(INDEX(Auction!$A$5:$A$1000,SMALL(IF(Auction!$C$5:$C$1000=$B$23,ROW(Auction!$C$5:$C$1000)-ROW(Auction!$C$5)+1),6)),"")</f>
        <v/>
      </c>
      <c r="D30" s="9">
        <f t="array" ref="D30">IFERROR(INDEX(Auction!$B$5:$B$1000,SMALL(IF(Auction!$C$5:$C$1000=$B$23,ROW(Auction!$C$5:$C$1000)-ROW(Auction!$C$5)+1),6)),"")</f>
        <v/>
      </c>
      <c r="F30" s="10" t="n">
        <v>6</v>
      </c>
      <c r="G30" s="8">
        <f t="array" ref="G30">IFERROR(INDEX(Auction!$A$5:$A$1000,SMALL(IF(Auction!$C$5:$C$1000=$F$23,ROW(Auction!$C$5:$C$1000)-ROW(Auction!$C$5)+1),6)),"")</f>
        <v/>
      </c>
      <c r="H30" s="9">
        <f t="array" ref="H30">IFERROR(INDEX(Auction!$B$5:$B$1000,SMALL(IF(Auction!$C$5:$C$1000=$F$23,ROW(Auction!$C$5:$C$1000)-ROW(Auction!$C$5)+1),6)),"")</f>
        <v/>
      </c>
      <c r="J30" s="10" t="n">
        <v>6</v>
      </c>
      <c r="K30" s="8">
        <f t="array" ref="K30">IFERROR(INDEX(Auction!$A$5:$A$1000,SMALL(IF(Auction!$C$5:$C$1000=$J$23,ROW(Auction!$C$5:$C$1000)-ROW(Auction!$C$5)+1),6)),"")</f>
        <v/>
      </c>
      <c r="L30" s="9">
        <f t="array" ref="L30">IFERROR(INDEX(Auction!$B$5:$B$1000,SMALL(IF(Auction!$C$5:$C$1000=$J$23,ROW(Auction!$C$5:$C$1000)-ROW(Auction!$C$5)+1),6)),"")</f>
        <v/>
      </c>
      <c r="N30" s="10" t="n">
        <v>6</v>
      </c>
      <c r="O30" s="8">
        <f t="array" ref="O30">IFERROR(INDEX(Auction!$A$5:$A$1000,SMALL(IF(Auction!$C$5:$C$1000=$N$23,ROW(Auction!$C$5:$C$1000)-ROW(Auction!$C$5)+1),6)),"")</f>
        <v/>
      </c>
      <c r="P30" s="9">
        <f t="array" ref="P30">IFERROR(INDEX(Auction!$B$5:$B$1000,SMALL(IF(Auction!$C$5:$C$1000=$N$23,ROW(Auction!$C$5:$C$1000)-ROW(Auction!$C$5)+1),6)),"")</f>
        <v/>
      </c>
      <c r="R30" s="10" t="n">
        <v>6</v>
      </c>
      <c r="S30" s="8">
        <f t="array" ref="S30">IFERROR(INDEX(Auction!$A$5:$A$1000,SMALL(IF(Auction!$C$5:$C$1000=$R$23,ROW(Auction!$C$5:$C$1000)-ROW(Auction!$C$5)+1),6)),"")</f>
        <v/>
      </c>
      <c r="T30" s="9">
        <f t="array" ref="T30">IFERROR(INDEX(Auction!$B$5:$B$1000,SMALL(IF(Auction!$C$5:$C$1000=$R$23,ROW(Auction!$C$5:$C$1000)-ROW(Auction!$C$5)+1),6)),"")</f>
        <v/>
      </c>
    </row>
    <row r="31">
      <c r="B31" s="7" t="n">
        <v>7</v>
      </c>
      <c r="C31" s="5">
        <f t="array" ref="C31">IFERROR(INDEX(Auction!$A$5:$A$1000,SMALL(IF(Auction!$C$5:$C$1000=$B$23,ROW(Auction!$C$5:$C$1000)-ROW(Auction!$C$5)+1),7)),"")</f>
        <v/>
      </c>
      <c r="D31" s="6">
        <f t="array" ref="D31">IFERROR(INDEX(Auction!$B$5:$B$1000,SMALL(IF(Auction!$C$5:$C$1000=$B$23,ROW(Auction!$C$5:$C$1000)-ROW(Auction!$C$5)+1),7)),"")</f>
        <v/>
      </c>
      <c r="F31" s="7" t="n">
        <v>7</v>
      </c>
      <c r="G31" s="5">
        <f t="array" ref="G31">IFERROR(INDEX(Auction!$A$5:$A$1000,SMALL(IF(Auction!$C$5:$C$1000=$F$23,ROW(Auction!$C$5:$C$1000)-ROW(Auction!$C$5)+1),7)),"")</f>
        <v/>
      </c>
      <c r="H31" s="6">
        <f t="array" ref="H31">IFERROR(INDEX(Auction!$B$5:$B$1000,SMALL(IF(Auction!$C$5:$C$1000=$F$23,ROW(Auction!$C$5:$C$1000)-ROW(Auction!$C$5)+1),7)),"")</f>
        <v/>
      </c>
      <c r="J31" s="7" t="n">
        <v>7</v>
      </c>
      <c r="K31" s="5">
        <f t="array" ref="K31">IFERROR(INDEX(Auction!$A$5:$A$1000,SMALL(IF(Auction!$C$5:$C$1000=$J$23,ROW(Auction!$C$5:$C$1000)-ROW(Auction!$C$5)+1),7)),"")</f>
        <v/>
      </c>
      <c r="L31" s="6">
        <f t="array" ref="L31">IFERROR(INDEX(Auction!$B$5:$B$1000,SMALL(IF(Auction!$C$5:$C$1000=$J$23,ROW(Auction!$C$5:$C$1000)-ROW(Auction!$C$5)+1),7)),"")</f>
        <v/>
      </c>
      <c r="N31" s="7" t="n">
        <v>7</v>
      </c>
      <c r="O31" s="5">
        <f t="array" ref="O31">IFERROR(INDEX(Auction!$A$5:$A$1000,SMALL(IF(Auction!$C$5:$C$1000=$N$23,ROW(Auction!$C$5:$C$1000)-ROW(Auction!$C$5)+1),7)),"")</f>
        <v/>
      </c>
      <c r="P31" s="6">
        <f t="array" ref="P31">IFERROR(INDEX(Auction!$B$5:$B$1000,SMALL(IF(Auction!$C$5:$C$1000=$N$23,ROW(Auction!$C$5:$C$1000)-ROW(Auction!$C$5)+1),7)),"")</f>
        <v/>
      </c>
      <c r="R31" s="7" t="n">
        <v>7</v>
      </c>
      <c r="S31" s="5">
        <f t="array" ref="S31">IFERROR(INDEX(Auction!$A$5:$A$1000,SMALL(IF(Auction!$C$5:$C$1000=$R$23,ROW(Auction!$C$5:$C$1000)-ROW(Auction!$C$5)+1),7)),"")</f>
        <v/>
      </c>
      <c r="T31" s="6">
        <f t="array" ref="T31">IFERROR(INDEX(Auction!$B$5:$B$1000,SMALL(IF(Auction!$C$5:$C$1000=$R$23,ROW(Auction!$C$5:$C$1000)-ROW(Auction!$C$5)+1),7)),"")</f>
        <v/>
      </c>
    </row>
    <row r="32">
      <c r="B32" s="10" t="n">
        <v>8</v>
      </c>
      <c r="C32" s="8">
        <f t="array" ref="C32">IFERROR(INDEX(Auction!$A$5:$A$1000,SMALL(IF(Auction!$C$5:$C$1000=$B$23,ROW(Auction!$C$5:$C$1000)-ROW(Auction!$C$5)+1),8)),"")</f>
        <v/>
      </c>
      <c r="D32" s="9">
        <f t="array" ref="D32">IFERROR(INDEX(Auction!$B$5:$B$1000,SMALL(IF(Auction!$C$5:$C$1000=$B$23,ROW(Auction!$C$5:$C$1000)-ROW(Auction!$C$5)+1),8)),"")</f>
        <v/>
      </c>
      <c r="F32" s="10" t="n">
        <v>8</v>
      </c>
      <c r="G32" s="8">
        <f t="array" ref="G32">IFERROR(INDEX(Auction!$A$5:$A$1000,SMALL(IF(Auction!$C$5:$C$1000=$F$23,ROW(Auction!$C$5:$C$1000)-ROW(Auction!$C$5)+1),8)),"")</f>
        <v/>
      </c>
      <c r="H32" s="9">
        <f t="array" ref="H32">IFERROR(INDEX(Auction!$B$5:$B$1000,SMALL(IF(Auction!$C$5:$C$1000=$F$23,ROW(Auction!$C$5:$C$1000)-ROW(Auction!$C$5)+1),8)),"")</f>
        <v/>
      </c>
      <c r="J32" s="10" t="n">
        <v>8</v>
      </c>
      <c r="K32" s="8">
        <f t="array" ref="K32">IFERROR(INDEX(Auction!$A$5:$A$1000,SMALL(IF(Auction!$C$5:$C$1000=$J$23,ROW(Auction!$C$5:$C$1000)-ROW(Auction!$C$5)+1),8)),"")</f>
        <v/>
      </c>
      <c r="L32" s="9">
        <f t="array" ref="L32">IFERROR(INDEX(Auction!$B$5:$B$1000,SMALL(IF(Auction!$C$5:$C$1000=$J$23,ROW(Auction!$C$5:$C$1000)-ROW(Auction!$C$5)+1),8)),"")</f>
        <v/>
      </c>
      <c r="N32" s="10" t="n">
        <v>8</v>
      </c>
      <c r="O32" s="8">
        <f t="array" ref="O32">IFERROR(INDEX(Auction!$A$5:$A$1000,SMALL(IF(Auction!$C$5:$C$1000=$N$23,ROW(Auction!$C$5:$C$1000)-ROW(Auction!$C$5)+1),8)),"")</f>
        <v/>
      </c>
      <c r="P32" s="9">
        <f t="array" ref="P32">IFERROR(INDEX(Auction!$B$5:$B$1000,SMALL(IF(Auction!$C$5:$C$1000=$N$23,ROW(Auction!$C$5:$C$1000)-ROW(Auction!$C$5)+1),8)),"")</f>
        <v/>
      </c>
      <c r="R32" s="10" t="n">
        <v>8</v>
      </c>
      <c r="S32" s="8">
        <f t="array" ref="S32">IFERROR(INDEX(Auction!$A$5:$A$1000,SMALL(IF(Auction!$C$5:$C$1000=$R$23,ROW(Auction!$C$5:$C$1000)-ROW(Auction!$C$5)+1),8)),"")</f>
        <v/>
      </c>
      <c r="T32" s="9">
        <f t="array" ref="T32">IFERROR(INDEX(Auction!$B$5:$B$1000,SMALL(IF(Auction!$C$5:$C$1000=$R$23,ROW(Auction!$C$5:$C$1000)-ROW(Auction!$C$5)+1),8)),"")</f>
        <v/>
      </c>
    </row>
    <row r="33">
      <c r="B33" s="7" t="n">
        <v>9</v>
      </c>
      <c r="C33" s="5">
        <f t="array" ref="C33">IFERROR(INDEX(Auction!$A$5:$A$1000,SMALL(IF(Auction!$C$5:$C$1000=$B$23,ROW(Auction!$C$5:$C$1000)-ROW(Auction!$C$5)+1),9)),"")</f>
        <v/>
      </c>
      <c r="D33" s="6">
        <f t="array" ref="D33">IFERROR(INDEX(Auction!$B$5:$B$1000,SMALL(IF(Auction!$C$5:$C$1000=$B$23,ROW(Auction!$C$5:$C$1000)-ROW(Auction!$C$5)+1),9)),"")</f>
        <v/>
      </c>
      <c r="F33" s="7" t="n">
        <v>9</v>
      </c>
      <c r="G33" s="5">
        <f t="array" ref="G33">IFERROR(INDEX(Auction!$A$5:$A$1000,SMALL(IF(Auction!$C$5:$C$1000=$F$23,ROW(Auction!$C$5:$C$1000)-ROW(Auction!$C$5)+1),9)),"")</f>
        <v/>
      </c>
      <c r="H33" s="6">
        <f t="array" ref="H33">IFERROR(INDEX(Auction!$B$5:$B$1000,SMALL(IF(Auction!$C$5:$C$1000=$F$23,ROW(Auction!$C$5:$C$1000)-ROW(Auction!$C$5)+1),9)),"")</f>
        <v/>
      </c>
      <c r="J33" s="7" t="n">
        <v>9</v>
      </c>
      <c r="K33" s="5">
        <f t="array" ref="K33">IFERROR(INDEX(Auction!$A$5:$A$1000,SMALL(IF(Auction!$C$5:$C$1000=$J$23,ROW(Auction!$C$5:$C$1000)-ROW(Auction!$C$5)+1),9)),"")</f>
        <v/>
      </c>
      <c r="L33" s="6">
        <f t="array" ref="L33">IFERROR(INDEX(Auction!$B$5:$B$1000,SMALL(IF(Auction!$C$5:$C$1000=$J$23,ROW(Auction!$C$5:$C$1000)-ROW(Auction!$C$5)+1),9)),"")</f>
        <v/>
      </c>
      <c r="N33" s="7" t="n">
        <v>9</v>
      </c>
      <c r="O33" s="5">
        <f t="array" ref="O33">IFERROR(INDEX(Auction!$A$5:$A$1000,SMALL(IF(Auction!$C$5:$C$1000=$N$23,ROW(Auction!$C$5:$C$1000)-ROW(Auction!$C$5)+1),9)),"")</f>
        <v/>
      </c>
      <c r="P33" s="6">
        <f t="array" ref="P33">IFERROR(INDEX(Auction!$B$5:$B$1000,SMALL(IF(Auction!$C$5:$C$1000=$N$23,ROW(Auction!$C$5:$C$1000)-ROW(Auction!$C$5)+1),9)),"")</f>
        <v/>
      </c>
      <c r="R33" s="7" t="n">
        <v>9</v>
      </c>
      <c r="S33" s="5">
        <f t="array" ref="S33">IFERROR(INDEX(Auction!$A$5:$A$1000,SMALL(IF(Auction!$C$5:$C$1000=$R$23,ROW(Auction!$C$5:$C$1000)-ROW(Auction!$C$5)+1),9)),"")</f>
        <v/>
      </c>
      <c r="T33" s="6">
        <f t="array" ref="T33">IFERROR(INDEX(Auction!$B$5:$B$1000,SMALL(IF(Auction!$C$5:$C$1000=$R$23,ROW(Auction!$C$5:$C$1000)-ROW(Auction!$C$5)+1),9)),"")</f>
        <v/>
      </c>
    </row>
    <row r="34">
      <c r="B34" s="10" t="n">
        <v>10</v>
      </c>
      <c r="C34" s="8">
        <f t="array" ref="C34">IFERROR(INDEX(Auction!$A$5:$A$1000,SMALL(IF(Auction!$C$5:$C$1000=$B$23,ROW(Auction!$C$5:$C$1000)-ROW(Auction!$C$5)+1),10)),"")</f>
        <v/>
      </c>
      <c r="D34" s="9">
        <f t="array" ref="D34">IFERROR(INDEX(Auction!$B$5:$B$1000,SMALL(IF(Auction!$C$5:$C$1000=$B$23,ROW(Auction!$C$5:$C$1000)-ROW(Auction!$C$5)+1),10)),"")</f>
        <v/>
      </c>
      <c r="F34" s="10" t="n">
        <v>10</v>
      </c>
      <c r="G34" s="8">
        <f t="array" ref="G34">IFERROR(INDEX(Auction!$A$5:$A$1000,SMALL(IF(Auction!$C$5:$C$1000=$F$23,ROW(Auction!$C$5:$C$1000)-ROW(Auction!$C$5)+1),10)),"")</f>
        <v/>
      </c>
      <c r="H34" s="9">
        <f t="array" ref="H34">IFERROR(INDEX(Auction!$B$5:$B$1000,SMALL(IF(Auction!$C$5:$C$1000=$F$23,ROW(Auction!$C$5:$C$1000)-ROW(Auction!$C$5)+1),10)),"")</f>
        <v/>
      </c>
      <c r="J34" s="10" t="n">
        <v>10</v>
      </c>
      <c r="K34" s="8">
        <f t="array" ref="K34">IFERROR(INDEX(Auction!$A$5:$A$1000,SMALL(IF(Auction!$C$5:$C$1000=$J$23,ROW(Auction!$C$5:$C$1000)-ROW(Auction!$C$5)+1),10)),"")</f>
        <v/>
      </c>
      <c r="L34" s="9">
        <f t="array" ref="L34">IFERROR(INDEX(Auction!$B$5:$B$1000,SMALL(IF(Auction!$C$5:$C$1000=$J$23,ROW(Auction!$C$5:$C$1000)-ROW(Auction!$C$5)+1),10)),"")</f>
        <v/>
      </c>
      <c r="N34" s="10" t="n">
        <v>10</v>
      </c>
      <c r="O34" s="8">
        <f t="array" ref="O34">IFERROR(INDEX(Auction!$A$5:$A$1000,SMALL(IF(Auction!$C$5:$C$1000=$N$23,ROW(Auction!$C$5:$C$1000)-ROW(Auction!$C$5)+1),10)),"")</f>
        <v/>
      </c>
      <c r="P34" s="9">
        <f t="array" ref="P34">IFERROR(INDEX(Auction!$B$5:$B$1000,SMALL(IF(Auction!$C$5:$C$1000=$N$23,ROW(Auction!$C$5:$C$1000)-ROW(Auction!$C$5)+1),10)),"")</f>
        <v/>
      </c>
      <c r="R34" s="10" t="n">
        <v>10</v>
      </c>
      <c r="S34" s="8">
        <f t="array" ref="S34">IFERROR(INDEX(Auction!$A$5:$A$1000,SMALL(IF(Auction!$C$5:$C$1000=$R$23,ROW(Auction!$C$5:$C$1000)-ROW(Auction!$C$5)+1),10)),"")</f>
        <v/>
      </c>
      <c r="T34" s="9">
        <f t="array" ref="T34">IFERROR(INDEX(Auction!$B$5:$B$1000,SMALL(IF(Auction!$C$5:$C$1000=$R$23,ROW(Auction!$C$5:$C$1000)-ROW(Auction!$C$5)+1),10)),"")</f>
        <v/>
      </c>
    </row>
    <row r="35">
      <c r="B35" s="7" t="n">
        <v>11</v>
      </c>
      <c r="C35" s="5">
        <f t="array" ref="C35">IFERROR(INDEX(Auction!$A$5:$A$1000,SMALL(IF(Auction!$C$5:$C$1000=$B$23,ROW(Auction!$C$5:$C$1000)-ROW(Auction!$C$5)+1),11)),"")</f>
        <v/>
      </c>
      <c r="D35" s="6">
        <f t="array" ref="D35">IFERROR(INDEX(Auction!$B$5:$B$1000,SMALL(IF(Auction!$C$5:$C$1000=$B$23,ROW(Auction!$C$5:$C$1000)-ROW(Auction!$C$5)+1),11)),"")</f>
        <v/>
      </c>
      <c r="F35" s="7" t="n">
        <v>11</v>
      </c>
      <c r="G35" s="5">
        <f t="array" ref="G35">IFERROR(INDEX(Auction!$A$5:$A$1000,SMALL(IF(Auction!$C$5:$C$1000=$F$23,ROW(Auction!$C$5:$C$1000)-ROW(Auction!$C$5)+1),11)),"")</f>
        <v/>
      </c>
      <c r="H35" s="6">
        <f t="array" ref="H35">IFERROR(INDEX(Auction!$B$5:$B$1000,SMALL(IF(Auction!$C$5:$C$1000=$F$23,ROW(Auction!$C$5:$C$1000)-ROW(Auction!$C$5)+1),11)),"")</f>
        <v/>
      </c>
      <c r="J35" s="7" t="n">
        <v>11</v>
      </c>
      <c r="K35" s="5">
        <f t="array" ref="K35">IFERROR(INDEX(Auction!$A$5:$A$1000,SMALL(IF(Auction!$C$5:$C$1000=$J$23,ROW(Auction!$C$5:$C$1000)-ROW(Auction!$C$5)+1),11)),"")</f>
        <v/>
      </c>
      <c r="L35" s="6">
        <f t="array" ref="L35">IFERROR(INDEX(Auction!$B$5:$B$1000,SMALL(IF(Auction!$C$5:$C$1000=$J$23,ROW(Auction!$C$5:$C$1000)-ROW(Auction!$C$5)+1),11)),"")</f>
        <v/>
      </c>
      <c r="N35" s="7" t="n">
        <v>11</v>
      </c>
      <c r="O35" s="5">
        <f t="array" ref="O35">IFERROR(INDEX(Auction!$A$5:$A$1000,SMALL(IF(Auction!$C$5:$C$1000=$N$23,ROW(Auction!$C$5:$C$1000)-ROW(Auction!$C$5)+1),11)),"")</f>
        <v/>
      </c>
      <c r="P35" s="6">
        <f t="array" ref="P35">IFERROR(INDEX(Auction!$B$5:$B$1000,SMALL(IF(Auction!$C$5:$C$1000=$N$23,ROW(Auction!$C$5:$C$1000)-ROW(Auction!$C$5)+1),11)),"")</f>
        <v/>
      </c>
      <c r="R35" s="7" t="n">
        <v>11</v>
      </c>
      <c r="S35" s="5">
        <f t="array" ref="S35">IFERROR(INDEX(Auction!$A$5:$A$1000,SMALL(IF(Auction!$C$5:$C$1000=$R$23,ROW(Auction!$C$5:$C$1000)-ROW(Auction!$C$5)+1),11)),"")</f>
        <v/>
      </c>
      <c r="T35" s="6">
        <f t="array" ref="T35">IFERROR(INDEX(Auction!$B$5:$B$1000,SMALL(IF(Auction!$C$5:$C$1000=$R$23,ROW(Auction!$C$5:$C$1000)-ROW(Auction!$C$5)+1),11)),"")</f>
        <v/>
      </c>
    </row>
    <row r="36">
      <c r="B36" s="10" t="n">
        <v>12</v>
      </c>
      <c r="C36" s="8">
        <f t="array" ref="C36">IFERROR(INDEX(Auction!$A$5:$A$1000,SMALL(IF(Auction!$C$5:$C$1000=$B$23,ROW(Auction!$C$5:$C$1000)-ROW(Auction!$C$5)+1),12)),"")</f>
        <v/>
      </c>
      <c r="D36" s="9">
        <f t="array" ref="D36">IFERROR(INDEX(Auction!$B$5:$B$1000,SMALL(IF(Auction!$C$5:$C$1000=$B$23,ROW(Auction!$C$5:$C$1000)-ROW(Auction!$C$5)+1),12)),"")</f>
        <v/>
      </c>
      <c r="F36" s="10" t="n">
        <v>12</v>
      </c>
      <c r="G36" s="8">
        <f t="array" ref="G36">IFERROR(INDEX(Auction!$A$5:$A$1000,SMALL(IF(Auction!$C$5:$C$1000=$F$23,ROW(Auction!$C$5:$C$1000)-ROW(Auction!$C$5)+1),12)),"")</f>
        <v/>
      </c>
      <c r="H36" s="9">
        <f t="array" ref="H36">IFERROR(INDEX(Auction!$B$5:$B$1000,SMALL(IF(Auction!$C$5:$C$1000=$F$23,ROW(Auction!$C$5:$C$1000)-ROW(Auction!$C$5)+1),12)),"")</f>
        <v/>
      </c>
      <c r="J36" s="10" t="n">
        <v>12</v>
      </c>
      <c r="K36" s="8">
        <f t="array" ref="K36">IFERROR(INDEX(Auction!$A$5:$A$1000,SMALL(IF(Auction!$C$5:$C$1000=$J$23,ROW(Auction!$C$5:$C$1000)-ROW(Auction!$C$5)+1),12)),"")</f>
        <v/>
      </c>
      <c r="L36" s="9">
        <f t="array" ref="L36">IFERROR(INDEX(Auction!$B$5:$B$1000,SMALL(IF(Auction!$C$5:$C$1000=$J$23,ROW(Auction!$C$5:$C$1000)-ROW(Auction!$C$5)+1),12)),"")</f>
        <v/>
      </c>
      <c r="N36" s="10" t="n">
        <v>12</v>
      </c>
      <c r="O36" s="8">
        <f t="array" ref="O36">IFERROR(INDEX(Auction!$A$5:$A$1000,SMALL(IF(Auction!$C$5:$C$1000=$N$23,ROW(Auction!$C$5:$C$1000)-ROW(Auction!$C$5)+1),12)),"")</f>
        <v/>
      </c>
      <c r="P36" s="9">
        <f t="array" ref="P36">IFERROR(INDEX(Auction!$B$5:$B$1000,SMALL(IF(Auction!$C$5:$C$1000=$N$23,ROW(Auction!$C$5:$C$1000)-ROW(Auction!$C$5)+1),12)),"")</f>
        <v/>
      </c>
      <c r="R36" s="10" t="n">
        <v>12</v>
      </c>
      <c r="S36" s="8">
        <f t="array" ref="S36">IFERROR(INDEX(Auction!$A$5:$A$1000,SMALL(IF(Auction!$C$5:$C$1000=$R$23,ROW(Auction!$C$5:$C$1000)-ROW(Auction!$C$5)+1),12)),"")</f>
        <v/>
      </c>
      <c r="T36" s="9">
        <f t="array" ref="T36">IFERROR(INDEX(Auction!$B$5:$B$1000,SMALL(IF(Auction!$C$5:$C$1000=$R$23,ROW(Auction!$C$5:$C$1000)-ROW(Auction!$C$5)+1),12)),"")</f>
        <v/>
      </c>
    </row>
    <row r="37">
      <c r="B37" s="7" t="n">
        <v>13</v>
      </c>
      <c r="C37" s="5">
        <f t="array" ref="C37">IFERROR(INDEX(Auction!$A$5:$A$1000,SMALL(IF(Auction!$C$5:$C$1000=$B$23,ROW(Auction!$C$5:$C$1000)-ROW(Auction!$C$5)+1),13)),"")</f>
        <v/>
      </c>
      <c r="D37" s="6">
        <f t="array" ref="D37">IFERROR(INDEX(Auction!$B$5:$B$1000,SMALL(IF(Auction!$C$5:$C$1000=$B$23,ROW(Auction!$C$5:$C$1000)-ROW(Auction!$C$5)+1),13)),"")</f>
        <v/>
      </c>
      <c r="F37" s="7" t="n">
        <v>13</v>
      </c>
      <c r="G37" s="5">
        <f t="array" ref="G37">IFERROR(INDEX(Auction!$A$5:$A$1000,SMALL(IF(Auction!$C$5:$C$1000=$F$23,ROW(Auction!$C$5:$C$1000)-ROW(Auction!$C$5)+1),13)),"")</f>
        <v/>
      </c>
      <c r="H37" s="6">
        <f t="array" ref="H37">IFERROR(INDEX(Auction!$B$5:$B$1000,SMALL(IF(Auction!$C$5:$C$1000=$F$23,ROW(Auction!$C$5:$C$1000)-ROW(Auction!$C$5)+1),13)),"")</f>
        <v/>
      </c>
      <c r="J37" s="7" t="n">
        <v>13</v>
      </c>
      <c r="K37" s="5">
        <f t="array" ref="K37">IFERROR(INDEX(Auction!$A$5:$A$1000,SMALL(IF(Auction!$C$5:$C$1000=$J$23,ROW(Auction!$C$5:$C$1000)-ROW(Auction!$C$5)+1),13)),"")</f>
        <v/>
      </c>
      <c r="L37" s="6">
        <f t="array" ref="L37">IFERROR(INDEX(Auction!$B$5:$B$1000,SMALL(IF(Auction!$C$5:$C$1000=$J$23,ROW(Auction!$C$5:$C$1000)-ROW(Auction!$C$5)+1),13)),"")</f>
        <v/>
      </c>
      <c r="N37" s="7" t="n">
        <v>13</v>
      </c>
      <c r="O37" s="5">
        <f t="array" ref="O37">IFERROR(INDEX(Auction!$A$5:$A$1000,SMALL(IF(Auction!$C$5:$C$1000=$N$23,ROW(Auction!$C$5:$C$1000)-ROW(Auction!$C$5)+1),13)),"")</f>
        <v/>
      </c>
      <c r="P37" s="6">
        <f t="array" ref="P37">IFERROR(INDEX(Auction!$B$5:$B$1000,SMALL(IF(Auction!$C$5:$C$1000=$N$23,ROW(Auction!$C$5:$C$1000)-ROW(Auction!$C$5)+1),13)),"")</f>
        <v/>
      </c>
      <c r="R37" s="7" t="n">
        <v>13</v>
      </c>
      <c r="S37" s="5">
        <f t="array" ref="S37">IFERROR(INDEX(Auction!$A$5:$A$1000,SMALL(IF(Auction!$C$5:$C$1000=$R$23,ROW(Auction!$C$5:$C$1000)-ROW(Auction!$C$5)+1),13)),"")</f>
        <v/>
      </c>
      <c r="T37" s="6">
        <f t="array" ref="T37">IFERROR(INDEX(Auction!$B$5:$B$1000,SMALL(IF(Auction!$C$5:$C$1000=$R$23,ROW(Auction!$C$5:$C$1000)-ROW(Auction!$C$5)+1),13)),"")</f>
        <v/>
      </c>
    </row>
    <row r="38">
      <c r="B38" s="10" t="n">
        <v>14</v>
      </c>
      <c r="C38" s="8">
        <f t="array" ref="C38">IFERROR(INDEX(Auction!$A$5:$A$1000,SMALL(IF(Auction!$C$5:$C$1000=$B$23,ROW(Auction!$C$5:$C$1000)-ROW(Auction!$C$5)+1),14)),"")</f>
        <v/>
      </c>
      <c r="D38" s="9">
        <f t="array" ref="D38">IFERROR(INDEX(Auction!$B$5:$B$1000,SMALL(IF(Auction!$C$5:$C$1000=$B$23,ROW(Auction!$C$5:$C$1000)-ROW(Auction!$C$5)+1),14)),"")</f>
        <v/>
      </c>
      <c r="F38" s="10" t="n">
        <v>14</v>
      </c>
      <c r="G38" s="8">
        <f t="array" ref="G38">IFERROR(INDEX(Auction!$A$5:$A$1000,SMALL(IF(Auction!$C$5:$C$1000=$F$23,ROW(Auction!$C$5:$C$1000)-ROW(Auction!$C$5)+1),14)),"")</f>
        <v/>
      </c>
      <c r="H38" s="9">
        <f t="array" ref="H38">IFERROR(INDEX(Auction!$B$5:$B$1000,SMALL(IF(Auction!$C$5:$C$1000=$F$23,ROW(Auction!$C$5:$C$1000)-ROW(Auction!$C$5)+1),14)),"")</f>
        <v/>
      </c>
      <c r="J38" s="10" t="n">
        <v>14</v>
      </c>
      <c r="K38" s="8">
        <f t="array" ref="K38">IFERROR(INDEX(Auction!$A$5:$A$1000,SMALL(IF(Auction!$C$5:$C$1000=$J$23,ROW(Auction!$C$5:$C$1000)-ROW(Auction!$C$5)+1),14)),"")</f>
        <v/>
      </c>
      <c r="L38" s="9">
        <f t="array" ref="L38">IFERROR(INDEX(Auction!$B$5:$B$1000,SMALL(IF(Auction!$C$5:$C$1000=$J$23,ROW(Auction!$C$5:$C$1000)-ROW(Auction!$C$5)+1),14)),"")</f>
        <v/>
      </c>
      <c r="N38" s="10" t="n">
        <v>14</v>
      </c>
      <c r="O38" s="8">
        <f t="array" ref="O38">IFERROR(INDEX(Auction!$A$5:$A$1000,SMALL(IF(Auction!$C$5:$C$1000=$N$23,ROW(Auction!$C$5:$C$1000)-ROW(Auction!$C$5)+1),14)),"")</f>
        <v/>
      </c>
      <c r="P38" s="9">
        <f t="array" ref="P38">IFERROR(INDEX(Auction!$B$5:$B$1000,SMALL(IF(Auction!$C$5:$C$1000=$N$23,ROW(Auction!$C$5:$C$1000)-ROW(Auction!$C$5)+1),14)),"")</f>
        <v/>
      </c>
      <c r="R38" s="10" t="n">
        <v>14</v>
      </c>
      <c r="S38" s="8">
        <f t="array" ref="S38">IFERROR(INDEX(Auction!$A$5:$A$1000,SMALL(IF(Auction!$C$5:$C$1000=$R$23,ROW(Auction!$C$5:$C$1000)-ROW(Auction!$C$5)+1),14)),"")</f>
        <v/>
      </c>
      <c r="T38" s="9">
        <f t="array" ref="T38">IFERROR(INDEX(Auction!$B$5:$B$1000,SMALL(IF(Auction!$C$5:$C$1000=$R$23,ROW(Auction!$C$5:$C$1000)-ROW(Auction!$C$5)+1),14)),"")</f>
        <v/>
      </c>
    </row>
    <row r="39">
      <c r="B39" s="7" t="n">
        <v>15</v>
      </c>
      <c r="C39" s="5">
        <f t="array" ref="C39">IFERROR(INDEX(Auction!$A$5:$A$1000,SMALL(IF(Auction!$C$5:$C$1000=$B$23,ROW(Auction!$C$5:$C$1000)-ROW(Auction!$C$5)+1),15)),"")</f>
        <v/>
      </c>
      <c r="D39" s="6">
        <f t="array" ref="D39">IFERROR(INDEX(Auction!$B$5:$B$1000,SMALL(IF(Auction!$C$5:$C$1000=$B$23,ROW(Auction!$C$5:$C$1000)-ROW(Auction!$C$5)+1),15)),"")</f>
        <v/>
      </c>
      <c r="F39" s="7" t="n">
        <v>15</v>
      </c>
      <c r="G39" s="5">
        <f t="array" ref="G39">IFERROR(INDEX(Auction!$A$5:$A$1000,SMALL(IF(Auction!$C$5:$C$1000=$F$23,ROW(Auction!$C$5:$C$1000)-ROW(Auction!$C$5)+1),15)),"")</f>
        <v/>
      </c>
      <c r="H39" s="6">
        <f t="array" ref="H39">IFERROR(INDEX(Auction!$B$5:$B$1000,SMALL(IF(Auction!$C$5:$C$1000=$F$23,ROW(Auction!$C$5:$C$1000)-ROW(Auction!$C$5)+1),15)),"")</f>
        <v/>
      </c>
      <c r="J39" s="7" t="n">
        <v>15</v>
      </c>
      <c r="K39" s="5">
        <f t="array" ref="K39">IFERROR(INDEX(Auction!$A$5:$A$1000,SMALL(IF(Auction!$C$5:$C$1000=$J$23,ROW(Auction!$C$5:$C$1000)-ROW(Auction!$C$5)+1),15)),"")</f>
        <v/>
      </c>
      <c r="L39" s="6">
        <f t="array" ref="L39">IFERROR(INDEX(Auction!$B$5:$B$1000,SMALL(IF(Auction!$C$5:$C$1000=$J$23,ROW(Auction!$C$5:$C$1000)-ROW(Auction!$C$5)+1),15)),"")</f>
        <v/>
      </c>
      <c r="N39" s="7" t="n">
        <v>15</v>
      </c>
      <c r="O39" s="5">
        <f t="array" ref="O39">IFERROR(INDEX(Auction!$A$5:$A$1000,SMALL(IF(Auction!$C$5:$C$1000=$N$23,ROW(Auction!$C$5:$C$1000)-ROW(Auction!$C$5)+1),15)),"")</f>
        <v/>
      </c>
      <c r="P39" s="6">
        <f t="array" ref="P39">IFERROR(INDEX(Auction!$B$5:$B$1000,SMALL(IF(Auction!$C$5:$C$1000=$N$23,ROW(Auction!$C$5:$C$1000)-ROW(Auction!$C$5)+1),15)),"")</f>
        <v/>
      </c>
      <c r="R39" s="7" t="n">
        <v>15</v>
      </c>
      <c r="S39" s="5">
        <f t="array" ref="S39">IFERROR(INDEX(Auction!$A$5:$A$1000,SMALL(IF(Auction!$C$5:$C$1000=$R$23,ROW(Auction!$C$5:$C$1000)-ROW(Auction!$C$5)+1),15)),"")</f>
        <v/>
      </c>
      <c r="T39" s="6">
        <f t="array" ref="T39">IFERROR(INDEX(Auction!$B$5:$B$1000,SMALL(IF(Auction!$C$5:$C$1000=$R$23,ROW(Auction!$C$5:$C$1000)-ROW(Auction!$C$5)+1),15)),"")</f>
        <v/>
      </c>
    </row>
    <row r="40">
      <c r="B40" s="17" t="inlineStr">
        <is>
          <t>Total Amount Spent</t>
        </is>
      </c>
      <c r="D40" s="18">
        <f>Balance!$C$9</f>
        <v/>
      </c>
      <c r="F40" s="17" t="inlineStr">
        <is>
          <t>Total Amount Spent</t>
        </is>
      </c>
      <c r="H40" s="18">
        <f>Balance!$C$10</f>
        <v/>
      </c>
      <c r="J40" s="17" t="inlineStr">
        <is>
          <t>Total Amount Spent</t>
        </is>
      </c>
      <c r="L40" s="18">
        <f>Balance!$C$11</f>
        <v/>
      </c>
      <c r="N40" s="17" t="inlineStr">
        <is>
          <t>Total Amount Spent</t>
        </is>
      </c>
      <c r="P40" s="18">
        <f>Balance!$C$12</f>
        <v/>
      </c>
      <c r="R40" s="17" t="inlineStr">
        <is>
          <t>Total Amount Spent</t>
        </is>
      </c>
      <c r="T40" s="18">
        <f>Balance!$C$13</f>
        <v/>
      </c>
    </row>
    <row r="41">
      <c r="B41" s="19" t="inlineStr">
        <is>
          <t>Total Amount Left</t>
        </is>
      </c>
      <c r="D41" s="20">
        <f>Balance!$D$9</f>
        <v/>
      </c>
      <c r="F41" s="19" t="inlineStr">
        <is>
          <t>Total Amount Left</t>
        </is>
      </c>
      <c r="H41" s="20">
        <f>Balance!$D$10</f>
        <v/>
      </c>
      <c r="J41" s="19" t="inlineStr">
        <is>
          <t>Total Amount Left</t>
        </is>
      </c>
      <c r="L41" s="20">
        <f>Balance!$D$11</f>
        <v/>
      </c>
      <c r="N41" s="19" t="inlineStr">
        <is>
          <t>Total Amount Left</t>
        </is>
      </c>
      <c r="P41" s="20">
        <f>Balance!$D$12</f>
        <v/>
      </c>
      <c r="R41" s="19" t="inlineStr">
        <is>
          <t>Total Amount Left</t>
        </is>
      </c>
      <c r="T41" s="20">
        <f>Balance!$D$13</f>
        <v/>
      </c>
    </row>
    <row r="42">
      <c r="B42" s="21" t="inlineStr">
        <is>
          <t>Total Amount</t>
        </is>
      </c>
      <c r="D42" s="14">
        <f>Balance!$B$9</f>
        <v/>
      </c>
      <c r="F42" s="21" t="inlineStr">
        <is>
          <t>Total Amount</t>
        </is>
      </c>
      <c r="H42" s="14">
        <f>Balance!$B$10</f>
        <v/>
      </c>
      <c r="J42" s="21" t="inlineStr">
        <is>
          <t>Total Amount</t>
        </is>
      </c>
      <c r="L42" s="14">
        <f>Balance!$B$11</f>
        <v/>
      </c>
      <c r="N42" s="21" t="inlineStr">
        <is>
          <t>Total Amount</t>
        </is>
      </c>
      <c r="P42" s="14">
        <f>Balance!$B$12</f>
        <v/>
      </c>
      <c r="R42" s="21" t="inlineStr">
        <is>
          <t>Total Amount</t>
        </is>
      </c>
      <c r="T42" s="14">
        <f>Balance!$B$13</f>
        <v/>
      </c>
    </row>
    <row r="44" ht="22" customHeight="1">
      <c r="B44" s="16">
        <f>Balance!$A$14</f>
        <v/>
      </c>
      <c r="F44" s="16">
        <f>Balance!$A$15</f>
        <v/>
      </c>
      <c r="J44" s="16">
        <f>Balance!$A$16</f>
        <v/>
      </c>
      <c r="N44" s="16">
        <f>Balance!$A$17</f>
        <v/>
      </c>
      <c r="R44" s="16">
        <f>Balance!$A$18</f>
        <v/>
      </c>
    </row>
    <row r="45">
      <c r="B45" s="3" t="inlineStr">
        <is>
          <t>S.No</t>
        </is>
      </c>
      <c r="C45" s="3" t="inlineStr">
        <is>
          <t>Player Name</t>
        </is>
      </c>
      <c r="D45" s="3" t="inlineStr">
        <is>
          <t>Amount</t>
        </is>
      </c>
      <c r="F45" s="3" t="inlineStr">
        <is>
          <t>S.No</t>
        </is>
      </c>
      <c r="G45" s="3" t="inlineStr">
        <is>
          <t>Player Name</t>
        </is>
      </c>
      <c r="H45" s="3" t="inlineStr">
        <is>
          <t>Amount</t>
        </is>
      </c>
      <c r="J45" s="3" t="inlineStr">
        <is>
          <t>S.No</t>
        </is>
      </c>
      <c r="K45" s="3" t="inlineStr">
        <is>
          <t>Player Name</t>
        </is>
      </c>
      <c r="L45" s="3" t="inlineStr">
        <is>
          <t>Amount</t>
        </is>
      </c>
      <c r="N45" s="3" t="inlineStr">
        <is>
          <t>S.No</t>
        </is>
      </c>
      <c r="O45" s="3" t="inlineStr">
        <is>
          <t>Player Name</t>
        </is>
      </c>
      <c r="P45" s="3" t="inlineStr">
        <is>
          <t>Amount</t>
        </is>
      </c>
      <c r="R45" s="3" t="inlineStr">
        <is>
          <t>S.No</t>
        </is>
      </c>
      <c r="S45" s="3" t="inlineStr">
        <is>
          <t>Player Name</t>
        </is>
      </c>
      <c r="T45" s="3" t="inlineStr">
        <is>
          <t>Amount</t>
        </is>
      </c>
    </row>
    <row r="46">
      <c r="B46" s="7" t="n">
        <v>1</v>
      </c>
      <c r="C46" s="5">
        <f t="array" ref="C46">IFERROR(INDEX(Auction!$A$5:$A$1000,SMALL(IF(Auction!$C$5:$C$1000=$B$44,ROW(Auction!$C$5:$C$1000)-ROW(Auction!$C$5)+1),1)),"")</f>
        <v/>
      </c>
      <c r="D46" s="6">
        <f t="array" ref="D46">IFERROR(INDEX(Auction!$B$5:$B$1000,SMALL(IF(Auction!$C$5:$C$1000=$B$44,ROW(Auction!$C$5:$C$1000)-ROW(Auction!$C$5)+1),1)),"")</f>
        <v/>
      </c>
      <c r="F46" s="7" t="n">
        <v>1</v>
      </c>
      <c r="G46" s="5">
        <f t="array" ref="G46">IFERROR(INDEX(Auction!$A$5:$A$1000,SMALL(IF(Auction!$C$5:$C$1000=$F$44,ROW(Auction!$C$5:$C$1000)-ROW(Auction!$C$5)+1),1)),"")</f>
        <v/>
      </c>
      <c r="H46" s="6">
        <f t="array" ref="H46">IFERROR(INDEX(Auction!$B$5:$B$1000,SMALL(IF(Auction!$C$5:$C$1000=$F$44,ROW(Auction!$C$5:$C$1000)-ROW(Auction!$C$5)+1),1)),"")</f>
        <v/>
      </c>
      <c r="J46" s="7" t="n">
        <v>1</v>
      </c>
      <c r="K46" s="5">
        <f t="array" ref="K46">IFERROR(INDEX(Auction!$A$5:$A$1000,SMALL(IF(Auction!$C$5:$C$1000=$J$44,ROW(Auction!$C$5:$C$1000)-ROW(Auction!$C$5)+1),1)),"")</f>
        <v/>
      </c>
      <c r="L46" s="6">
        <f t="array" ref="L46">IFERROR(INDEX(Auction!$B$5:$B$1000,SMALL(IF(Auction!$C$5:$C$1000=$J$44,ROW(Auction!$C$5:$C$1000)-ROW(Auction!$C$5)+1),1)),"")</f>
        <v/>
      </c>
      <c r="N46" s="7" t="n">
        <v>1</v>
      </c>
      <c r="O46" s="5">
        <f t="array" ref="O46">IFERROR(INDEX(Auction!$A$5:$A$1000,SMALL(IF(Auction!$C$5:$C$1000=$N$44,ROW(Auction!$C$5:$C$1000)-ROW(Auction!$C$5)+1),1)),"")</f>
        <v/>
      </c>
      <c r="P46" s="6">
        <f t="array" ref="P46">IFERROR(INDEX(Auction!$B$5:$B$1000,SMALL(IF(Auction!$C$5:$C$1000=$N$44,ROW(Auction!$C$5:$C$1000)-ROW(Auction!$C$5)+1),1)),"")</f>
        <v/>
      </c>
      <c r="R46" s="7" t="n">
        <v>1</v>
      </c>
      <c r="S46" s="5">
        <f t="array" ref="S46">IFERROR(INDEX(Auction!$A$5:$A$1000,SMALL(IF(Auction!$C$5:$C$1000=$R$44,ROW(Auction!$C$5:$C$1000)-ROW(Auction!$C$5)+1),1)),"")</f>
        <v/>
      </c>
      <c r="T46" s="6">
        <f t="array" ref="T46">IFERROR(INDEX(Auction!$B$5:$B$1000,SMALL(IF(Auction!$C$5:$C$1000=$R$44,ROW(Auction!$C$5:$C$1000)-ROW(Auction!$C$5)+1),1)),"")</f>
        <v/>
      </c>
    </row>
    <row r="47">
      <c r="B47" s="10" t="n">
        <v>2</v>
      </c>
      <c r="C47" s="8">
        <f t="array" ref="C47">IFERROR(INDEX(Auction!$A$5:$A$1000,SMALL(IF(Auction!$C$5:$C$1000=$B$44,ROW(Auction!$C$5:$C$1000)-ROW(Auction!$C$5)+1),2)),"")</f>
        <v/>
      </c>
      <c r="D47" s="9">
        <f t="array" ref="D47">IFERROR(INDEX(Auction!$B$5:$B$1000,SMALL(IF(Auction!$C$5:$C$1000=$B$44,ROW(Auction!$C$5:$C$1000)-ROW(Auction!$C$5)+1),2)),"")</f>
        <v/>
      </c>
      <c r="F47" s="10" t="n">
        <v>2</v>
      </c>
      <c r="G47" s="8">
        <f t="array" ref="G47">IFERROR(INDEX(Auction!$A$5:$A$1000,SMALL(IF(Auction!$C$5:$C$1000=$F$44,ROW(Auction!$C$5:$C$1000)-ROW(Auction!$C$5)+1),2)),"")</f>
        <v/>
      </c>
      <c r="H47" s="9">
        <f t="array" ref="H47">IFERROR(INDEX(Auction!$B$5:$B$1000,SMALL(IF(Auction!$C$5:$C$1000=$F$44,ROW(Auction!$C$5:$C$1000)-ROW(Auction!$C$5)+1),2)),"")</f>
        <v/>
      </c>
      <c r="J47" s="10" t="n">
        <v>2</v>
      </c>
      <c r="K47" s="8">
        <f t="array" ref="K47">IFERROR(INDEX(Auction!$A$5:$A$1000,SMALL(IF(Auction!$C$5:$C$1000=$J$44,ROW(Auction!$C$5:$C$1000)-ROW(Auction!$C$5)+1),2)),"")</f>
        <v/>
      </c>
      <c r="L47" s="9">
        <f t="array" ref="L47">IFERROR(INDEX(Auction!$B$5:$B$1000,SMALL(IF(Auction!$C$5:$C$1000=$J$44,ROW(Auction!$C$5:$C$1000)-ROW(Auction!$C$5)+1),2)),"")</f>
        <v/>
      </c>
      <c r="N47" s="10" t="n">
        <v>2</v>
      </c>
      <c r="O47" s="8">
        <f t="array" ref="O47">IFERROR(INDEX(Auction!$A$5:$A$1000,SMALL(IF(Auction!$C$5:$C$1000=$N$44,ROW(Auction!$C$5:$C$1000)-ROW(Auction!$C$5)+1),2)),"")</f>
        <v/>
      </c>
      <c r="P47" s="9">
        <f t="array" ref="P47">IFERROR(INDEX(Auction!$B$5:$B$1000,SMALL(IF(Auction!$C$5:$C$1000=$N$44,ROW(Auction!$C$5:$C$1000)-ROW(Auction!$C$5)+1),2)),"")</f>
        <v/>
      </c>
      <c r="R47" s="10" t="n">
        <v>2</v>
      </c>
      <c r="S47" s="8">
        <f t="array" ref="S47">IFERROR(INDEX(Auction!$A$5:$A$1000,SMALL(IF(Auction!$C$5:$C$1000=$R$44,ROW(Auction!$C$5:$C$1000)-ROW(Auction!$C$5)+1),2)),"")</f>
        <v/>
      </c>
      <c r="T47" s="9">
        <f t="array" ref="T47">IFERROR(INDEX(Auction!$B$5:$B$1000,SMALL(IF(Auction!$C$5:$C$1000=$R$44,ROW(Auction!$C$5:$C$1000)-ROW(Auction!$C$5)+1),2)),"")</f>
        <v/>
      </c>
    </row>
    <row r="48">
      <c r="B48" s="7" t="n">
        <v>3</v>
      </c>
      <c r="C48" s="5">
        <f t="array" ref="C48">IFERROR(INDEX(Auction!$A$5:$A$1000,SMALL(IF(Auction!$C$5:$C$1000=$B$44,ROW(Auction!$C$5:$C$1000)-ROW(Auction!$C$5)+1),3)),"")</f>
        <v/>
      </c>
      <c r="D48" s="6">
        <f t="array" ref="D48">IFERROR(INDEX(Auction!$B$5:$B$1000,SMALL(IF(Auction!$C$5:$C$1000=$B$44,ROW(Auction!$C$5:$C$1000)-ROW(Auction!$C$5)+1),3)),"")</f>
        <v/>
      </c>
      <c r="F48" s="7" t="n">
        <v>3</v>
      </c>
      <c r="G48" s="5">
        <f t="array" ref="G48">IFERROR(INDEX(Auction!$A$5:$A$1000,SMALL(IF(Auction!$C$5:$C$1000=$F$44,ROW(Auction!$C$5:$C$1000)-ROW(Auction!$C$5)+1),3)),"")</f>
        <v/>
      </c>
      <c r="H48" s="6">
        <f t="array" ref="H48">IFERROR(INDEX(Auction!$B$5:$B$1000,SMALL(IF(Auction!$C$5:$C$1000=$F$44,ROW(Auction!$C$5:$C$1000)-ROW(Auction!$C$5)+1),3)),"")</f>
        <v/>
      </c>
      <c r="J48" s="7" t="n">
        <v>3</v>
      </c>
      <c r="K48" s="5">
        <f t="array" ref="K48">IFERROR(INDEX(Auction!$A$5:$A$1000,SMALL(IF(Auction!$C$5:$C$1000=$J$44,ROW(Auction!$C$5:$C$1000)-ROW(Auction!$C$5)+1),3)),"")</f>
        <v/>
      </c>
      <c r="L48" s="6">
        <f t="array" ref="L48">IFERROR(INDEX(Auction!$B$5:$B$1000,SMALL(IF(Auction!$C$5:$C$1000=$J$44,ROW(Auction!$C$5:$C$1000)-ROW(Auction!$C$5)+1),3)),"")</f>
        <v/>
      </c>
      <c r="N48" s="7" t="n">
        <v>3</v>
      </c>
      <c r="O48" s="5">
        <f t="array" ref="O48">IFERROR(INDEX(Auction!$A$5:$A$1000,SMALL(IF(Auction!$C$5:$C$1000=$N$44,ROW(Auction!$C$5:$C$1000)-ROW(Auction!$C$5)+1),3)),"")</f>
        <v/>
      </c>
      <c r="P48" s="6">
        <f t="array" ref="P48">IFERROR(INDEX(Auction!$B$5:$B$1000,SMALL(IF(Auction!$C$5:$C$1000=$N$44,ROW(Auction!$C$5:$C$1000)-ROW(Auction!$C$5)+1),3)),"")</f>
        <v/>
      </c>
      <c r="R48" s="7" t="n">
        <v>3</v>
      </c>
      <c r="S48" s="5">
        <f t="array" ref="S48">IFERROR(INDEX(Auction!$A$5:$A$1000,SMALL(IF(Auction!$C$5:$C$1000=$R$44,ROW(Auction!$C$5:$C$1000)-ROW(Auction!$C$5)+1),3)),"")</f>
        <v/>
      </c>
      <c r="T48" s="6">
        <f t="array" ref="T48">IFERROR(INDEX(Auction!$B$5:$B$1000,SMALL(IF(Auction!$C$5:$C$1000=$R$44,ROW(Auction!$C$5:$C$1000)-ROW(Auction!$C$5)+1),3)),"")</f>
        <v/>
      </c>
    </row>
    <row r="49">
      <c r="B49" s="10" t="n">
        <v>4</v>
      </c>
      <c r="C49" s="8">
        <f t="array" ref="C49">IFERROR(INDEX(Auction!$A$5:$A$1000,SMALL(IF(Auction!$C$5:$C$1000=$B$44,ROW(Auction!$C$5:$C$1000)-ROW(Auction!$C$5)+1),4)),"")</f>
        <v/>
      </c>
      <c r="D49" s="9">
        <f t="array" ref="D49">IFERROR(INDEX(Auction!$B$5:$B$1000,SMALL(IF(Auction!$C$5:$C$1000=$B$44,ROW(Auction!$C$5:$C$1000)-ROW(Auction!$C$5)+1),4)),"")</f>
        <v/>
      </c>
      <c r="F49" s="10" t="n">
        <v>4</v>
      </c>
      <c r="G49" s="8">
        <f t="array" ref="G49">IFERROR(INDEX(Auction!$A$5:$A$1000,SMALL(IF(Auction!$C$5:$C$1000=$F$44,ROW(Auction!$C$5:$C$1000)-ROW(Auction!$C$5)+1),4)),"")</f>
        <v/>
      </c>
      <c r="H49" s="9">
        <f t="array" ref="H49">IFERROR(INDEX(Auction!$B$5:$B$1000,SMALL(IF(Auction!$C$5:$C$1000=$F$44,ROW(Auction!$C$5:$C$1000)-ROW(Auction!$C$5)+1),4)),"")</f>
        <v/>
      </c>
      <c r="J49" s="10" t="n">
        <v>4</v>
      </c>
      <c r="K49" s="8">
        <f t="array" ref="K49">IFERROR(INDEX(Auction!$A$5:$A$1000,SMALL(IF(Auction!$C$5:$C$1000=$J$44,ROW(Auction!$C$5:$C$1000)-ROW(Auction!$C$5)+1),4)),"")</f>
        <v/>
      </c>
      <c r="L49" s="9">
        <f t="array" ref="L49">IFERROR(INDEX(Auction!$B$5:$B$1000,SMALL(IF(Auction!$C$5:$C$1000=$J$44,ROW(Auction!$C$5:$C$1000)-ROW(Auction!$C$5)+1),4)),"")</f>
        <v/>
      </c>
      <c r="N49" s="10" t="n">
        <v>4</v>
      </c>
      <c r="O49" s="8">
        <f t="array" ref="O49">IFERROR(INDEX(Auction!$A$5:$A$1000,SMALL(IF(Auction!$C$5:$C$1000=$N$44,ROW(Auction!$C$5:$C$1000)-ROW(Auction!$C$5)+1),4)),"")</f>
        <v/>
      </c>
      <c r="P49" s="9">
        <f t="array" ref="P49">IFERROR(INDEX(Auction!$B$5:$B$1000,SMALL(IF(Auction!$C$5:$C$1000=$N$44,ROW(Auction!$C$5:$C$1000)-ROW(Auction!$C$5)+1),4)),"")</f>
        <v/>
      </c>
      <c r="R49" s="10" t="n">
        <v>4</v>
      </c>
      <c r="S49" s="8">
        <f t="array" ref="S49">IFERROR(INDEX(Auction!$A$5:$A$1000,SMALL(IF(Auction!$C$5:$C$1000=$R$44,ROW(Auction!$C$5:$C$1000)-ROW(Auction!$C$5)+1),4)),"")</f>
        <v/>
      </c>
      <c r="T49" s="9">
        <f t="array" ref="T49">IFERROR(INDEX(Auction!$B$5:$B$1000,SMALL(IF(Auction!$C$5:$C$1000=$R$44,ROW(Auction!$C$5:$C$1000)-ROW(Auction!$C$5)+1),4)),"")</f>
        <v/>
      </c>
    </row>
    <row r="50">
      <c r="B50" s="7" t="n">
        <v>5</v>
      </c>
      <c r="C50" s="5">
        <f t="array" ref="C50">IFERROR(INDEX(Auction!$A$5:$A$1000,SMALL(IF(Auction!$C$5:$C$1000=$B$44,ROW(Auction!$C$5:$C$1000)-ROW(Auction!$C$5)+1),5)),"")</f>
        <v/>
      </c>
      <c r="D50" s="6">
        <f t="array" ref="D50">IFERROR(INDEX(Auction!$B$5:$B$1000,SMALL(IF(Auction!$C$5:$C$1000=$B$44,ROW(Auction!$C$5:$C$1000)-ROW(Auction!$C$5)+1),5)),"")</f>
        <v/>
      </c>
      <c r="F50" s="7" t="n">
        <v>5</v>
      </c>
      <c r="G50" s="5">
        <f t="array" ref="G50">IFERROR(INDEX(Auction!$A$5:$A$1000,SMALL(IF(Auction!$C$5:$C$1000=$F$44,ROW(Auction!$C$5:$C$1000)-ROW(Auction!$C$5)+1),5)),"")</f>
        <v/>
      </c>
      <c r="H50" s="6">
        <f t="array" ref="H50">IFERROR(INDEX(Auction!$B$5:$B$1000,SMALL(IF(Auction!$C$5:$C$1000=$F$44,ROW(Auction!$C$5:$C$1000)-ROW(Auction!$C$5)+1),5)),"")</f>
        <v/>
      </c>
      <c r="J50" s="7" t="n">
        <v>5</v>
      </c>
      <c r="K50" s="5">
        <f t="array" ref="K50">IFERROR(INDEX(Auction!$A$5:$A$1000,SMALL(IF(Auction!$C$5:$C$1000=$J$44,ROW(Auction!$C$5:$C$1000)-ROW(Auction!$C$5)+1),5)),"")</f>
        <v/>
      </c>
      <c r="L50" s="6">
        <f t="array" ref="L50">IFERROR(INDEX(Auction!$B$5:$B$1000,SMALL(IF(Auction!$C$5:$C$1000=$J$44,ROW(Auction!$C$5:$C$1000)-ROW(Auction!$C$5)+1),5)),"")</f>
        <v/>
      </c>
      <c r="N50" s="7" t="n">
        <v>5</v>
      </c>
      <c r="O50" s="5">
        <f t="array" ref="O50">IFERROR(INDEX(Auction!$A$5:$A$1000,SMALL(IF(Auction!$C$5:$C$1000=$N$44,ROW(Auction!$C$5:$C$1000)-ROW(Auction!$C$5)+1),5)),"")</f>
        <v/>
      </c>
      <c r="P50" s="6">
        <f t="array" ref="P50">IFERROR(INDEX(Auction!$B$5:$B$1000,SMALL(IF(Auction!$C$5:$C$1000=$N$44,ROW(Auction!$C$5:$C$1000)-ROW(Auction!$C$5)+1),5)),"")</f>
        <v/>
      </c>
      <c r="R50" s="7" t="n">
        <v>5</v>
      </c>
      <c r="S50" s="5">
        <f t="array" ref="S50">IFERROR(INDEX(Auction!$A$5:$A$1000,SMALL(IF(Auction!$C$5:$C$1000=$R$44,ROW(Auction!$C$5:$C$1000)-ROW(Auction!$C$5)+1),5)),"")</f>
        <v/>
      </c>
      <c r="T50" s="6">
        <f t="array" ref="T50">IFERROR(INDEX(Auction!$B$5:$B$1000,SMALL(IF(Auction!$C$5:$C$1000=$R$44,ROW(Auction!$C$5:$C$1000)-ROW(Auction!$C$5)+1),5)),"")</f>
        <v/>
      </c>
    </row>
    <row r="51">
      <c r="B51" s="10" t="n">
        <v>6</v>
      </c>
      <c r="C51" s="8">
        <f t="array" ref="C51">IFERROR(INDEX(Auction!$A$5:$A$1000,SMALL(IF(Auction!$C$5:$C$1000=$B$44,ROW(Auction!$C$5:$C$1000)-ROW(Auction!$C$5)+1),6)),"")</f>
        <v/>
      </c>
      <c r="D51" s="9">
        <f t="array" ref="D51">IFERROR(INDEX(Auction!$B$5:$B$1000,SMALL(IF(Auction!$C$5:$C$1000=$B$44,ROW(Auction!$C$5:$C$1000)-ROW(Auction!$C$5)+1),6)),"")</f>
        <v/>
      </c>
      <c r="F51" s="10" t="n">
        <v>6</v>
      </c>
      <c r="G51" s="8">
        <f t="array" ref="G51">IFERROR(INDEX(Auction!$A$5:$A$1000,SMALL(IF(Auction!$C$5:$C$1000=$F$44,ROW(Auction!$C$5:$C$1000)-ROW(Auction!$C$5)+1),6)),"")</f>
        <v/>
      </c>
      <c r="H51" s="9">
        <f t="array" ref="H51">IFERROR(INDEX(Auction!$B$5:$B$1000,SMALL(IF(Auction!$C$5:$C$1000=$F$44,ROW(Auction!$C$5:$C$1000)-ROW(Auction!$C$5)+1),6)),"")</f>
        <v/>
      </c>
      <c r="J51" s="10" t="n">
        <v>6</v>
      </c>
      <c r="K51" s="8">
        <f t="array" ref="K51">IFERROR(INDEX(Auction!$A$5:$A$1000,SMALL(IF(Auction!$C$5:$C$1000=$J$44,ROW(Auction!$C$5:$C$1000)-ROW(Auction!$C$5)+1),6)),"")</f>
        <v/>
      </c>
      <c r="L51" s="9">
        <f t="array" ref="L51">IFERROR(INDEX(Auction!$B$5:$B$1000,SMALL(IF(Auction!$C$5:$C$1000=$J$44,ROW(Auction!$C$5:$C$1000)-ROW(Auction!$C$5)+1),6)),"")</f>
        <v/>
      </c>
      <c r="N51" s="10" t="n">
        <v>6</v>
      </c>
      <c r="O51" s="8">
        <f t="array" ref="O51">IFERROR(INDEX(Auction!$A$5:$A$1000,SMALL(IF(Auction!$C$5:$C$1000=$N$44,ROW(Auction!$C$5:$C$1000)-ROW(Auction!$C$5)+1),6)),"")</f>
        <v/>
      </c>
      <c r="P51" s="9">
        <f t="array" ref="P51">IFERROR(INDEX(Auction!$B$5:$B$1000,SMALL(IF(Auction!$C$5:$C$1000=$N$44,ROW(Auction!$C$5:$C$1000)-ROW(Auction!$C$5)+1),6)),"")</f>
        <v/>
      </c>
      <c r="R51" s="10" t="n">
        <v>6</v>
      </c>
      <c r="S51" s="8">
        <f t="array" ref="S51">IFERROR(INDEX(Auction!$A$5:$A$1000,SMALL(IF(Auction!$C$5:$C$1000=$R$44,ROW(Auction!$C$5:$C$1000)-ROW(Auction!$C$5)+1),6)),"")</f>
        <v/>
      </c>
      <c r="T51" s="9">
        <f t="array" ref="T51">IFERROR(INDEX(Auction!$B$5:$B$1000,SMALL(IF(Auction!$C$5:$C$1000=$R$44,ROW(Auction!$C$5:$C$1000)-ROW(Auction!$C$5)+1),6)),"")</f>
        <v/>
      </c>
    </row>
    <row r="52">
      <c r="B52" s="7" t="n">
        <v>7</v>
      </c>
      <c r="C52" s="5">
        <f t="array" ref="C52">IFERROR(INDEX(Auction!$A$5:$A$1000,SMALL(IF(Auction!$C$5:$C$1000=$B$44,ROW(Auction!$C$5:$C$1000)-ROW(Auction!$C$5)+1),7)),"")</f>
        <v/>
      </c>
      <c r="D52" s="6">
        <f t="array" ref="D52">IFERROR(INDEX(Auction!$B$5:$B$1000,SMALL(IF(Auction!$C$5:$C$1000=$B$44,ROW(Auction!$C$5:$C$1000)-ROW(Auction!$C$5)+1),7)),"")</f>
        <v/>
      </c>
      <c r="F52" s="7" t="n">
        <v>7</v>
      </c>
      <c r="G52" s="5">
        <f t="array" ref="G52">IFERROR(INDEX(Auction!$A$5:$A$1000,SMALL(IF(Auction!$C$5:$C$1000=$F$44,ROW(Auction!$C$5:$C$1000)-ROW(Auction!$C$5)+1),7)),"")</f>
        <v/>
      </c>
      <c r="H52" s="6">
        <f t="array" ref="H52">IFERROR(INDEX(Auction!$B$5:$B$1000,SMALL(IF(Auction!$C$5:$C$1000=$F$44,ROW(Auction!$C$5:$C$1000)-ROW(Auction!$C$5)+1),7)),"")</f>
        <v/>
      </c>
      <c r="J52" s="7" t="n">
        <v>7</v>
      </c>
      <c r="K52" s="5">
        <f t="array" ref="K52">IFERROR(INDEX(Auction!$A$5:$A$1000,SMALL(IF(Auction!$C$5:$C$1000=$J$44,ROW(Auction!$C$5:$C$1000)-ROW(Auction!$C$5)+1),7)),"")</f>
        <v/>
      </c>
      <c r="L52" s="6">
        <f t="array" ref="L52">IFERROR(INDEX(Auction!$B$5:$B$1000,SMALL(IF(Auction!$C$5:$C$1000=$J$44,ROW(Auction!$C$5:$C$1000)-ROW(Auction!$C$5)+1),7)),"")</f>
        <v/>
      </c>
      <c r="N52" s="7" t="n">
        <v>7</v>
      </c>
      <c r="O52" s="5">
        <f t="array" ref="O52">IFERROR(INDEX(Auction!$A$5:$A$1000,SMALL(IF(Auction!$C$5:$C$1000=$N$44,ROW(Auction!$C$5:$C$1000)-ROW(Auction!$C$5)+1),7)),"")</f>
        <v/>
      </c>
      <c r="P52" s="6">
        <f t="array" ref="P52">IFERROR(INDEX(Auction!$B$5:$B$1000,SMALL(IF(Auction!$C$5:$C$1000=$N$44,ROW(Auction!$C$5:$C$1000)-ROW(Auction!$C$5)+1),7)),"")</f>
        <v/>
      </c>
      <c r="R52" s="7" t="n">
        <v>7</v>
      </c>
      <c r="S52" s="5">
        <f t="array" ref="S52">IFERROR(INDEX(Auction!$A$5:$A$1000,SMALL(IF(Auction!$C$5:$C$1000=$R$44,ROW(Auction!$C$5:$C$1000)-ROW(Auction!$C$5)+1),7)),"")</f>
        <v/>
      </c>
      <c r="T52" s="6">
        <f t="array" ref="T52">IFERROR(INDEX(Auction!$B$5:$B$1000,SMALL(IF(Auction!$C$5:$C$1000=$R$44,ROW(Auction!$C$5:$C$1000)-ROW(Auction!$C$5)+1),7)),"")</f>
        <v/>
      </c>
    </row>
    <row r="53">
      <c r="B53" s="10" t="n">
        <v>8</v>
      </c>
      <c r="C53" s="8">
        <f t="array" ref="C53">IFERROR(INDEX(Auction!$A$5:$A$1000,SMALL(IF(Auction!$C$5:$C$1000=$B$44,ROW(Auction!$C$5:$C$1000)-ROW(Auction!$C$5)+1),8)),"")</f>
        <v/>
      </c>
      <c r="D53" s="9">
        <f t="array" ref="D53">IFERROR(INDEX(Auction!$B$5:$B$1000,SMALL(IF(Auction!$C$5:$C$1000=$B$44,ROW(Auction!$C$5:$C$1000)-ROW(Auction!$C$5)+1),8)),"")</f>
        <v/>
      </c>
      <c r="F53" s="10" t="n">
        <v>8</v>
      </c>
      <c r="G53" s="8">
        <f t="array" ref="G53">IFERROR(INDEX(Auction!$A$5:$A$1000,SMALL(IF(Auction!$C$5:$C$1000=$F$44,ROW(Auction!$C$5:$C$1000)-ROW(Auction!$C$5)+1),8)),"")</f>
        <v/>
      </c>
      <c r="H53" s="9">
        <f t="array" ref="H53">IFERROR(INDEX(Auction!$B$5:$B$1000,SMALL(IF(Auction!$C$5:$C$1000=$F$44,ROW(Auction!$C$5:$C$1000)-ROW(Auction!$C$5)+1),8)),"")</f>
        <v/>
      </c>
      <c r="J53" s="10" t="n">
        <v>8</v>
      </c>
      <c r="K53" s="8">
        <f t="array" ref="K53">IFERROR(INDEX(Auction!$A$5:$A$1000,SMALL(IF(Auction!$C$5:$C$1000=$J$44,ROW(Auction!$C$5:$C$1000)-ROW(Auction!$C$5)+1),8)),"")</f>
        <v/>
      </c>
      <c r="L53" s="9">
        <f t="array" ref="L53">IFERROR(INDEX(Auction!$B$5:$B$1000,SMALL(IF(Auction!$C$5:$C$1000=$J$44,ROW(Auction!$C$5:$C$1000)-ROW(Auction!$C$5)+1),8)),"")</f>
        <v/>
      </c>
      <c r="N53" s="10" t="n">
        <v>8</v>
      </c>
      <c r="O53" s="8">
        <f t="array" ref="O53">IFERROR(INDEX(Auction!$A$5:$A$1000,SMALL(IF(Auction!$C$5:$C$1000=$N$44,ROW(Auction!$C$5:$C$1000)-ROW(Auction!$C$5)+1),8)),"")</f>
        <v/>
      </c>
      <c r="P53" s="9">
        <f t="array" ref="P53">IFERROR(INDEX(Auction!$B$5:$B$1000,SMALL(IF(Auction!$C$5:$C$1000=$N$44,ROW(Auction!$C$5:$C$1000)-ROW(Auction!$C$5)+1),8)),"")</f>
        <v/>
      </c>
      <c r="R53" s="10" t="n">
        <v>8</v>
      </c>
      <c r="S53" s="8">
        <f t="array" ref="S53">IFERROR(INDEX(Auction!$A$5:$A$1000,SMALL(IF(Auction!$C$5:$C$1000=$R$44,ROW(Auction!$C$5:$C$1000)-ROW(Auction!$C$5)+1),8)),"")</f>
        <v/>
      </c>
      <c r="T53" s="9">
        <f t="array" ref="T53">IFERROR(INDEX(Auction!$B$5:$B$1000,SMALL(IF(Auction!$C$5:$C$1000=$R$44,ROW(Auction!$C$5:$C$1000)-ROW(Auction!$C$5)+1),8)),"")</f>
        <v/>
      </c>
    </row>
    <row r="54">
      <c r="B54" s="7" t="n">
        <v>9</v>
      </c>
      <c r="C54" s="5">
        <f t="array" ref="C54">IFERROR(INDEX(Auction!$A$5:$A$1000,SMALL(IF(Auction!$C$5:$C$1000=$B$44,ROW(Auction!$C$5:$C$1000)-ROW(Auction!$C$5)+1),9)),"")</f>
        <v/>
      </c>
      <c r="D54" s="6">
        <f t="array" ref="D54">IFERROR(INDEX(Auction!$B$5:$B$1000,SMALL(IF(Auction!$C$5:$C$1000=$B$44,ROW(Auction!$C$5:$C$1000)-ROW(Auction!$C$5)+1),9)),"")</f>
        <v/>
      </c>
      <c r="F54" s="7" t="n">
        <v>9</v>
      </c>
      <c r="G54" s="5">
        <f t="array" ref="G54">IFERROR(INDEX(Auction!$A$5:$A$1000,SMALL(IF(Auction!$C$5:$C$1000=$F$44,ROW(Auction!$C$5:$C$1000)-ROW(Auction!$C$5)+1),9)),"")</f>
        <v/>
      </c>
      <c r="H54" s="6">
        <f t="array" ref="H54">IFERROR(INDEX(Auction!$B$5:$B$1000,SMALL(IF(Auction!$C$5:$C$1000=$F$44,ROW(Auction!$C$5:$C$1000)-ROW(Auction!$C$5)+1),9)),"")</f>
        <v/>
      </c>
      <c r="J54" s="7" t="n">
        <v>9</v>
      </c>
      <c r="K54" s="5">
        <f t="array" ref="K54">IFERROR(INDEX(Auction!$A$5:$A$1000,SMALL(IF(Auction!$C$5:$C$1000=$J$44,ROW(Auction!$C$5:$C$1000)-ROW(Auction!$C$5)+1),9)),"")</f>
        <v/>
      </c>
      <c r="L54" s="6">
        <f t="array" ref="L54">IFERROR(INDEX(Auction!$B$5:$B$1000,SMALL(IF(Auction!$C$5:$C$1000=$J$44,ROW(Auction!$C$5:$C$1000)-ROW(Auction!$C$5)+1),9)),"")</f>
        <v/>
      </c>
      <c r="N54" s="7" t="n">
        <v>9</v>
      </c>
      <c r="O54" s="5">
        <f t="array" ref="O54">IFERROR(INDEX(Auction!$A$5:$A$1000,SMALL(IF(Auction!$C$5:$C$1000=$N$44,ROW(Auction!$C$5:$C$1000)-ROW(Auction!$C$5)+1),9)),"")</f>
        <v/>
      </c>
      <c r="P54" s="6">
        <f t="array" ref="P54">IFERROR(INDEX(Auction!$B$5:$B$1000,SMALL(IF(Auction!$C$5:$C$1000=$N$44,ROW(Auction!$C$5:$C$1000)-ROW(Auction!$C$5)+1),9)),"")</f>
        <v/>
      </c>
      <c r="R54" s="7" t="n">
        <v>9</v>
      </c>
      <c r="S54" s="5">
        <f t="array" ref="S54">IFERROR(INDEX(Auction!$A$5:$A$1000,SMALL(IF(Auction!$C$5:$C$1000=$R$44,ROW(Auction!$C$5:$C$1000)-ROW(Auction!$C$5)+1),9)),"")</f>
        <v/>
      </c>
      <c r="T54" s="6">
        <f t="array" ref="T54">IFERROR(INDEX(Auction!$B$5:$B$1000,SMALL(IF(Auction!$C$5:$C$1000=$R$44,ROW(Auction!$C$5:$C$1000)-ROW(Auction!$C$5)+1),9)),"")</f>
        <v/>
      </c>
    </row>
    <row r="55">
      <c r="B55" s="10" t="n">
        <v>10</v>
      </c>
      <c r="C55" s="8">
        <f t="array" ref="C55">IFERROR(INDEX(Auction!$A$5:$A$1000,SMALL(IF(Auction!$C$5:$C$1000=$B$44,ROW(Auction!$C$5:$C$1000)-ROW(Auction!$C$5)+1),10)),"")</f>
        <v/>
      </c>
      <c r="D55" s="9">
        <f t="array" ref="D55">IFERROR(INDEX(Auction!$B$5:$B$1000,SMALL(IF(Auction!$C$5:$C$1000=$B$44,ROW(Auction!$C$5:$C$1000)-ROW(Auction!$C$5)+1),10)),"")</f>
        <v/>
      </c>
      <c r="F55" s="10" t="n">
        <v>10</v>
      </c>
      <c r="G55" s="8">
        <f t="array" ref="G55">IFERROR(INDEX(Auction!$A$5:$A$1000,SMALL(IF(Auction!$C$5:$C$1000=$F$44,ROW(Auction!$C$5:$C$1000)-ROW(Auction!$C$5)+1),10)),"")</f>
        <v/>
      </c>
      <c r="H55" s="9">
        <f t="array" ref="H55">IFERROR(INDEX(Auction!$B$5:$B$1000,SMALL(IF(Auction!$C$5:$C$1000=$F$44,ROW(Auction!$C$5:$C$1000)-ROW(Auction!$C$5)+1),10)),"")</f>
        <v/>
      </c>
      <c r="J55" s="10" t="n">
        <v>10</v>
      </c>
      <c r="K55" s="8">
        <f t="array" ref="K55">IFERROR(INDEX(Auction!$A$5:$A$1000,SMALL(IF(Auction!$C$5:$C$1000=$J$44,ROW(Auction!$C$5:$C$1000)-ROW(Auction!$C$5)+1),10)),"")</f>
        <v/>
      </c>
      <c r="L55" s="9">
        <f t="array" ref="L55">IFERROR(INDEX(Auction!$B$5:$B$1000,SMALL(IF(Auction!$C$5:$C$1000=$J$44,ROW(Auction!$C$5:$C$1000)-ROW(Auction!$C$5)+1),10)),"")</f>
        <v/>
      </c>
      <c r="N55" s="10" t="n">
        <v>10</v>
      </c>
      <c r="O55" s="8">
        <f t="array" ref="O55">IFERROR(INDEX(Auction!$A$5:$A$1000,SMALL(IF(Auction!$C$5:$C$1000=$N$44,ROW(Auction!$C$5:$C$1000)-ROW(Auction!$C$5)+1),10)),"")</f>
        <v/>
      </c>
      <c r="P55" s="9">
        <f t="array" ref="P55">IFERROR(INDEX(Auction!$B$5:$B$1000,SMALL(IF(Auction!$C$5:$C$1000=$N$44,ROW(Auction!$C$5:$C$1000)-ROW(Auction!$C$5)+1),10)),"")</f>
        <v/>
      </c>
      <c r="R55" s="10" t="n">
        <v>10</v>
      </c>
      <c r="S55" s="8">
        <f t="array" ref="S55">IFERROR(INDEX(Auction!$A$5:$A$1000,SMALL(IF(Auction!$C$5:$C$1000=$R$44,ROW(Auction!$C$5:$C$1000)-ROW(Auction!$C$5)+1),10)),"")</f>
        <v/>
      </c>
      <c r="T55" s="9">
        <f t="array" ref="T55">IFERROR(INDEX(Auction!$B$5:$B$1000,SMALL(IF(Auction!$C$5:$C$1000=$R$44,ROW(Auction!$C$5:$C$1000)-ROW(Auction!$C$5)+1),10)),"")</f>
        <v/>
      </c>
    </row>
    <row r="56">
      <c r="B56" s="7" t="n">
        <v>11</v>
      </c>
      <c r="C56" s="5">
        <f t="array" ref="C56">IFERROR(INDEX(Auction!$A$5:$A$1000,SMALL(IF(Auction!$C$5:$C$1000=$B$44,ROW(Auction!$C$5:$C$1000)-ROW(Auction!$C$5)+1),11)),"")</f>
        <v/>
      </c>
      <c r="D56" s="6">
        <f t="array" ref="D56">IFERROR(INDEX(Auction!$B$5:$B$1000,SMALL(IF(Auction!$C$5:$C$1000=$B$44,ROW(Auction!$C$5:$C$1000)-ROW(Auction!$C$5)+1),11)),"")</f>
        <v/>
      </c>
      <c r="F56" s="7" t="n">
        <v>11</v>
      </c>
      <c r="G56" s="5">
        <f t="array" ref="G56">IFERROR(INDEX(Auction!$A$5:$A$1000,SMALL(IF(Auction!$C$5:$C$1000=$F$44,ROW(Auction!$C$5:$C$1000)-ROW(Auction!$C$5)+1),11)),"")</f>
        <v/>
      </c>
      <c r="H56" s="6">
        <f t="array" ref="H56">IFERROR(INDEX(Auction!$B$5:$B$1000,SMALL(IF(Auction!$C$5:$C$1000=$F$44,ROW(Auction!$C$5:$C$1000)-ROW(Auction!$C$5)+1),11)),"")</f>
        <v/>
      </c>
      <c r="J56" s="7" t="n">
        <v>11</v>
      </c>
      <c r="K56" s="5">
        <f t="array" ref="K56">IFERROR(INDEX(Auction!$A$5:$A$1000,SMALL(IF(Auction!$C$5:$C$1000=$J$44,ROW(Auction!$C$5:$C$1000)-ROW(Auction!$C$5)+1),11)),"")</f>
        <v/>
      </c>
      <c r="L56" s="6">
        <f t="array" ref="L56">IFERROR(INDEX(Auction!$B$5:$B$1000,SMALL(IF(Auction!$C$5:$C$1000=$J$44,ROW(Auction!$C$5:$C$1000)-ROW(Auction!$C$5)+1),11)),"")</f>
        <v/>
      </c>
      <c r="N56" s="7" t="n">
        <v>11</v>
      </c>
      <c r="O56" s="5">
        <f t="array" ref="O56">IFERROR(INDEX(Auction!$A$5:$A$1000,SMALL(IF(Auction!$C$5:$C$1000=$N$44,ROW(Auction!$C$5:$C$1000)-ROW(Auction!$C$5)+1),11)),"")</f>
        <v/>
      </c>
      <c r="P56" s="6">
        <f t="array" ref="P56">IFERROR(INDEX(Auction!$B$5:$B$1000,SMALL(IF(Auction!$C$5:$C$1000=$N$44,ROW(Auction!$C$5:$C$1000)-ROW(Auction!$C$5)+1),11)),"")</f>
        <v/>
      </c>
      <c r="R56" s="7" t="n">
        <v>11</v>
      </c>
      <c r="S56" s="5">
        <f t="array" ref="S56">IFERROR(INDEX(Auction!$A$5:$A$1000,SMALL(IF(Auction!$C$5:$C$1000=$R$44,ROW(Auction!$C$5:$C$1000)-ROW(Auction!$C$5)+1),11)),"")</f>
        <v/>
      </c>
      <c r="T56" s="6">
        <f t="array" ref="T56">IFERROR(INDEX(Auction!$B$5:$B$1000,SMALL(IF(Auction!$C$5:$C$1000=$R$44,ROW(Auction!$C$5:$C$1000)-ROW(Auction!$C$5)+1),11)),"")</f>
        <v/>
      </c>
    </row>
    <row r="57">
      <c r="B57" s="10" t="n">
        <v>12</v>
      </c>
      <c r="C57" s="8">
        <f t="array" ref="C57">IFERROR(INDEX(Auction!$A$5:$A$1000,SMALL(IF(Auction!$C$5:$C$1000=$B$44,ROW(Auction!$C$5:$C$1000)-ROW(Auction!$C$5)+1),12)),"")</f>
        <v/>
      </c>
      <c r="D57" s="9">
        <f t="array" ref="D57">IFERROR(INDEX(Auction!$B$5:$B$1000,SMALL(IF(Auction!$C$5:$C$1000=$B$44,ROW(Auction!$C$5:$C$1000)-ROW(Auction!$C$5)+1),12)),"")</f>
        <v/>
      </c>
      <c r="F57" s="10" t="n">
        <v>12</v>
      </c>
      <c r="G57" s="8">
        <f t="array" ref="G57">IFERROR(INDEX(Auction!$A$5:$A$1000,SMALL(IF(Auction!$C$5:$C$1000=$F$44,ROW(Auction!$C$5:$C$1000)-ROW(Auction!$C$5)+1),12)),"")</f>
        <v/>
      </c>
      <c r="H57" s="9">
        <f t="array" ref="H57">IFERROR(INDEX(Auction!$B$5:$B$1000,SMALL(IF(Auction!$C$5:$C$1000=$F$44,ROW(Auction!$C$5:$C$1000)-ROW(Auction!$C$5)+1),12)),"")</f>
        <v/>
      </c>
      <c r="J57" s="10" t="n">
        <v>12</v>
      </c>
      <c r="K57" s="8">
        <f t="array" ref="K57">IFERROR(INDEX(Auction!$A$5:$A$1000,SMALL(IF(Auction!$C$5:$C$1000=$J$44,ROW(Auction!$C$5:$C$1000)-ROW(Auction!$C$5)+1),12)),"")</f>
        <v/>
      </c>
      <c r="L57" s="9">
        <f t="array" ref="L57">IFERROR(INDEX(Auction!$B$5:$B$1000,SMALL(IF(Auction!$C$5:$C$1000=$J$44,ROW(Auction!$C$5:$C$1000)-ROW(Auction!$C$5)+1),12)),"")</f>
        <v/>
      </c>
      <c r="N57" s="10" t="n">
        <v>12</v>
      </c>
      <c r="O57" s="8">
        <f t="array" ref="O57">IFERROR(INDEX(Auction!$A$5:$A$1000,SMALL(IF(Auction!$C$5:$C$1000=$N$44,ROW(Auction!$C$5:$C$1000)-ROW(Auction!$C$5)+1),12)),"")</f>
        <v/>
      </c>
      <c r="P57" s="9">
        <f t="array" ref="P57">IFERROR(INDEX(Auction!$B$5:$B$1000,SMALL(IF(Auction!$C$5:$C$1000=$N$44,ROW(Auction!$C$5:$C$1000)-ROW(Auction!$C$5)+1),12)),"")</f>
        <v/>
      </c>
      <c r="R57" s="10" t="n">
        <v>12</v>
      </c>
      <c r="S57" s="8">
        <f t="array" ref="S57">IFERROR(INDEX(Auction!$A$5:$A$1000,SMALL(IF(Auction!$C$5:$C$1000=$R$44,ROW(Auction!$C$5:$C$1000)-ROW(Auction!$C$5)+1),12)),"")</f>
        <v/>
      </c>
      <c r="T57" s="9">
        <f t="array" ref="T57">IFERROR(INDEX(Auction!$B$5:$B$1000,SMALL(IF(Auction!$C$5:$C$1000=$R$44,ROW(Auction!$C$5:$C$1000)-ROW(Auction!$C$5)+1),12)),"")</f>
        <v/>
      </c>
    </row>
    <row r="58">
      <c r="B58" s="7" t="n">
        <v>13</v>
      </c>
      <c r="C58" s="5">
        <f t="array" ref="C58">IFERROR(INDEX(Auction!$A$5:$A$1000,SMALL(IF(Auction!$C$5:$C$1000=$B$44,ROW(Auction!$C$5:$C$1000)-ROW(Auction!$C$5)+1),13)),"")</f>
        <v/>
      </c>
      <c r="D58" s="6">
        <f t="array" ref="D58">IFERROR(INDEX(Auction!$B$5:$B$1000,SMALL(IF(Auction!$C$5:$C$1000=$B$44,ROW(Auction!$C$5:$C$1000)-ROW(Auction!$C$5)+1),13)),"")</f>
        <v/>
      </c>
      <c r="F58" s="7" t="n">
        <v>13</v>
      </c>
      <c r="G58" s="5">
        <f t="array" ref="G58">IFERROR(INDEX(Auction!$A$5:$A$1000,SMALL(IF(Auction!$C$5:$C$1000=$F$44,ROW(Auction!$C$5:$C$1000)-ROW(Auction!$C$5)+1),13)),"")</f>
        <v/>
      </c>
      <c r="H58" s="6">
        <f t="array" ref="H58">IFERROR(INDEX(Auction!$B$5:$B$1000,SMALL(IF(Auction!$C$5:$C$1000=$F$44,ROW(Auction!$C$5:$C$1000)-ROW(Auction!$C$5)+1),13)),"")</f>
        <v/>
      </c>
      <c r="J58" s="7" t="n">
        <v>13</v>
      </c>
      <c r="K58" s="5">
        <f t="array" ref="K58">IFERROR(INDEX(Auction!$A$5:$A$1000,SMALL(IF(Auction!$C$5:$C$1000=$J$44,ROW(Auction!$C$5:$C$1000)-ROW(Auction!$C$5)+1),13)),"")</f>
        <v/>
      </c>
      <c r="L58" s="6">
        <f t="array" ref="L58">IFERROR(INDEX(Auction!$B$5:$B$1000,SMALL(IF(Auction!$C$5:$C$1000=$J$44,ROW(Auction!$C$5:$C$1000)-ROW(Auction!$C$5)+1),13)),"")</f>
        <v/>
      </c>
      <c r="N58" s="7" t="n">
        <v>13</v>
      </c>
      <c r="O58" s="5">
        <f t="array" ref="O58">IFERROR(INDEX(Auction!$A$5:$A$1000,SMALL(IF(Auction!$C$5:$C$1000=$N$44,ROW(Auction!$C$5:$C$1000)-ROW(Auction!$C$5)+1),13)),"")</f>
        <v/>
      </c>
      <c r="P58" s="6">
        <f t="array" ref="P58">IFERROR(INDEX(Auction!$B$5:$B$1000,SMALL(IF(Auction!$C$5:$C$1000=$N$44,ROW(Auction!$C$5:$C$1000)-ROW(Auction!$C$5)+1),13)),"")</f>
        <v/>
      </c>
      <c r="R58" s="7" t="n">
        <v>13</v>
      </c>
      <c r="S58" s="5">
        <f t="array" ref="S58">IFERROR(INDEX(Auction!$A$5:$A$1000,SMALL(IF(Auction!$C$5:$C$1000=$R$44,ROW(Auction!$C$5:$C$1000)-ROW(Auction!$C$5)+1),13)),"")</f>
        <v/>
      </c>
      <c r="T58" s="6">
        <f t="array" ref="T58">IFERROR(INDEX(Auction!$B$5:$B$1000,SMALL(IF(Auction!$C$5:$C$1000=$R$44,ROW(Auction!$C$5:$C$1000)-ROW(Auction!$C$5)+1),13)),"")</f>
        <v/>
      </c>
    </row>
    <row r="59">
      <c r="B59" s="10" t="n">
        <v>14</v>
      </c>
      <c r="C59" s="8">
        <f t="array" ref="C59">IFERROR(INDEX(Auction!$A$5:$A$1000,SMALL(IF(Auction!$C$5:$C$1000=$B$44,ROW(Auction!$C$5:$C$1000)-ROW(Auction!$C$5)+1),14)),"")</f>
        <v/>
      </c>
      <c r="D59" s="9">
        <f t="array" ref="D59">IFERROR(INDEX(Auction!$B$5:$B$1000,SMALL(IF(Auction!$C$5:$C$1000=$B$44,ROW(Auction!$C$5:$C$1000)-ROW(Auction!$C$5)+1),14)),"")</f>
        <v/>
      </c>
      <c r="F59" s="10" t="n">
        <v>14</v>
      </c>
      <c r="G59" s="8">
        <f t="array" ref="G59">IFERROR(INDEX(Auction!$A$5:$A$1000,SMALL(IF(Auction!$C$5:$C$1000=$F$44,ROW(Auction!$C$5:$C$1000)-ROW(Auction!$C$5)+1),14)),"")</f>
        <v/>
      </c>
      <c r="H59" s="9">
        <f t="array" ref="H59">IFERROR(INDEX(Auction!$B$5:$B$1000,SMALL(IF(Auction!$C$5:$C$1000=$F$44,ROW(Auction!$C$5:$C$1000)-ROW(Auction!$C$5)+1),14)),"")</f>
        <v/>
      </c>
      <c r="J59" s="10" t="n">
        <v>14</v>
      </c>
      <c r="K59" s="8">
        <f t="array" ref="K59">IFERROR(INDEX(Auction!$A$5:$A$1000,SMALL(IF(Auction!$C$5:$C$1000=$J$44,ROW(Auction!$C$5:$C$1000)-ROW(Auction!$C$5)+1),14)),"")</f>
        <v/>
      </c>
      <c r="L59" s="9">
        <f t="array" ref="L59">IFERROR(INDEX(Auction!$B$5:$B$1000,SMALL(IF(Auction!$C$5:$C$1000=$J$44,ROW(Auction!$C$5:$C$1000)-ROW(Auction!$C$5)+1),14)),"")</f>
        <v/>
      </c>
      <c r="N59" s="10" t="n">
        <v>14</v>
      </c>
      <c r="O59" s="8">
        <f t="array" ref="O59">IFERROR(INDEX(Auction!$A$5:$A$1000,SMALL(IF(Auction!$C$5:$C$1000=$N$44,ROW(Auction!$C$5:$C$1000)-ROW(Auction!$C$5)+1),14)),"")</f>
        <v/>
      </c>
      <c r="P59" s="9">
        <f t="array" ref="P59">IFERROR(INDEX(Auction!$B$5:$B$1000,SMALL(IF(Auction!$C$5:$C$1000=$N$44,ROW(Auction!$C$5:$C$1000)-ROW(Auction!$C$5)+1),14)),"")</f>
        <v/>
      </c>
      <c r="R59" s="10" t="n">
        <v>14</v>
      </c>
      <c r="S59" s="8">
        <f t="array" ref="S59">IFERROR(INDEX(Auction!$A$5:$A$1000,SMALL(IF(Auction!$C$5:$C$1000=$R$44,ROW(Auction!$C$5:$C$1000)-ROW(Auction!$C$5)+1),14)),"")</f>
        <v/>
      </c>
      <c r="T59" s="9">
        <f t="array" ref="T59">IFERROR(INDEX(Auction!$B$5:$B$1000,SMALL(IF(Auction!$C$5:$C$1000=$R$44,ROW(Auction!$C$5:$C$1000)-ROW(Auction!$C$5)+1),14)),"")</f>
        <v/>
      </c>
    </row>
    <row r="60">
      <c r="B60" s="7" t="n">
        <v>15</v>
      </c>
      <c r="C60" s="5">
        <f t="array" ref="C60">IFERROR(INDEX(Auction!$A$5:$A$1000,SMALL(IF(Auction!$C$5:$C$1000=$B$44,ROW(Auction!$C$5:$C$1000)-ROW(Auction!$C$5)+1),15)),"")</f>
        <v/>
      </c>
      <c r="D60" s="6">
        <f t="array" ref="D60">IFERROR(INDEX(Auction!$B$5:$B$1000,SMALL(IF(Auction!$C$5:$C$1000=$B$44,ROW(Auction!$C$5:$C$1000)-ROW(Auction!$C$5)+1),15)),"")</f>
        <v/>
      </c>
      <c r="F60" s="7" t="n">
        <v>15</v>
      </c>
      <c r="G60" s="5">
        <f t="array" ref="G60">IFERROR(INDEX(Auction!$A$5:$A$1000,SMALL(IF(Auction!$C$5:$C$1000=$F$44,ROW(Auction!$C$5:$C$1000)-ROW(Auction!$C$5)+1),15)),"")</f>
        <v/>
      </c>
      <c r="H60" s="6">
        <f t="array" ref="H60">IFERROR(INDEX(Auction!$B$5:$B$1000,SMALL(IF(Auction!$C$5:$C$1000=$F$44,ROW(Auction!$C$5:$C$1000)-ROW(Auction!$C$5)+1),15)),"")</f>
        <v/>
      </c>
      <c r="J60" s="7" t="n">
        <v>15</v>
      </c>
      <c r="K60" s="5">
        <f t="array" ref="K60">IFERROR(INDEX(Auction!$A$5:$A$1000,SMALL(IF(Auction!$C$5:$C$1000=$J$44,ROW(Auction!$C$5:$C$1000)-ROW(Auction!$C$5)+1),15)),"")</f>
        <v/>
      </c>
      <c r="L60" s="6">
        <f t="array" ref="L60">IFERROR(INDEX(Auction!$B$5:$B$1000,SMALL(IF(Auction!$C$5:$C$1000=$J$44,ROW(Auction!$C$5:$C$1000)-ROW(Auction!$C$5)+1),15)),"")</f>
        <v/>
      </c>
      <c r="N60" s="7" t="n">
        <v>15</v>
      </c>
      <c r="O60" s="5">
        <f t="array" ref="O60">IFERROR(INDEX(Auction!$A$5:$A$1000,SMALL(IF(Auction!$C$5:$C$1000=$N$44,ROW(Auction!$C$5:$C$1000)-ROW(Auction!$C$5)+1),15)),"")</f>
        <v/>
      </c>
      <c r="P60" s="6">
        <f t="array" ref="P60">IFERROR(INDEX(Auction!$B$5:$B$1000,SMALL(IF(Auction!$C$5:$C$1000=$N$44,ROW(Auction!$C$5:$C$1000)-ROW(Auction!$C$5)+1),15)),"")</f>
        <v/>
      </c>
      <c r="R60" s="7" t="n">
        <v>15</v>
      </c>
      <c r="S60" s="5">
        <f t="array" ref="S60">IFERROR(INDEX(Auction!$A$5:$A$1000,SMALL(IF(Auction!$C$5:$C$1000=$R$44,ROW(Auction!$C$5:$C$1000)-ROW(Auction!$C$5)+1),15)),"")</f>
        <v/>
      </c>
      <c r="T60" s="6">
        <f t="array" ref="T60">IFERROR(INDEX(Auction!$B$5:$B$1000,SMALL(IF(Auction!$C$5:$C$1000=$R$44,ROW(Auction!$C$5:$C$1000)-ROW(Auction!$C$5)+1),15)),"")</f>
        <v/>
      </c>
    </row>
    <row r="61">
      <c r="B61" s="17" t="inlineStr">
        <is>
          <t>Total Amount Spent</t>
        </is>
      </c>
      <c r="D61" s="18">
        <f>Balance!$C$14</f>
        <v/>
      </c>
      <c r="F61" s="17" t="inlineStr">
        <is>
          <t>Total Amount Spent</t>
        </is>
      </c>
      <c r="H61" s="18">
        <f>Balance!$C$15</f>
        <v/>
      </c>
      <c r="J61" s="17" t="inlineStr">
        <is>
          <t>Total Amount Spent</t>
        </is>
      </c>
      <c r="L61" s="18">
        <f>Balance!$C$16</f>
        <v/>
      </c>
      <c r="N61" s="17" t="inlineStr">
        <is>
          <t>Total Amount Spent</t>
        </is>
      </c>
      <c r="P61" s="18">
        <f>Balance!$C$17</f>
        <v/>
      </c>
      <c r="R61" s="17" t="inlineStr">
        <is>
          <t>Total Amount Spent</t>
        </is>
      </c>
      <c r="T61" s="18">
        <f>Balance!$C$18</f>
        <v/>
      </c>
    </row>
    <row r="62">
      <c r="B62" s="19" t="inlineStr">
        <is>
          <t>Total Amount Left</t>
        </is>
      </c>
      <c r="D62" s="20">
        <f>Balance!$D$14</f>
        <v/>
      </c>
      <c r="F62" s="19" t="inlineStr">
        <is>
          <t>Total Amount Left</t>
        </is>
      </c>
      <c r="H62" s="20">
        <f>Balance!$D$15</f>
        <v/>
      </c>
      <c r="J62" s="19" t="inlineStr">
        <is>
          <t>Total Amount Left</t>
        </is>
      </c>
      <c r="L62" s="20">
        <f>Balance!$D$16</f>
        <v/>
      </c>
      <c r="N62" s="19" t="inlineStr">
        <is>
          <t>Total Amount Left</t>
        </is>
      </c>
      <c r="P62" s="20">
        <f>Balance!$D$17</f>
        <v/>
      </c>
      <c r="R62" s="19" t="inlineStr">
        <is>
          <t>Total Amount Left</t>
        </is>
      </c>
      <c r="T62" s="20">
        <f>Balance!$D$18</f>
        <v/>
      </c>
    </row>
    <row r="63">
      <c r="B63" s="21" t="inlineStr">
        <is>
          <t>Total Amount</t>
        </is>
      </c>
      <c r="D63" s="14">
        <f>Balance!$B$14</f>
        <v/>
      </c>
      <c r="F63" s="21" t="inlineStr">
        <is>
          <t>Total Amount</t>
        </is>
      </c>
      <c r="H63" s="14">
        <f>Balance!$B$15</f>
        <v/>
      </c>
      <c r="J63" s="21" t="inlineStr">
        <is>
          <t>Total Amount</t>
        </is>
      </c>
      <c r="L63" s="14">
        <f>Balance!$B$16</f>
        <v/>
      </c>
      <c r="N63" s="21" t="inlineStr">
        <is>
          <t>Total Amount</t>
        </is>
      </c>
      <c r="P63" s="14">
        <f>Balance!$B$17</f>
        <v/>
      </c>
      <c r="R63" s="21" t="inlineStr">
        <is>
          <t>Total Amount</t>
        </is>
      </c>
      <c r="T63" s="14">
        <f>Balance!$B$18</f>
        <v/>
      </c>
    </row>
  </sheetData>
  <mergeCells count="60">
    <mergeCell ref="B62:C62"/>
    <mergeCell ref="N2:P2"/>
    <mergeCell ref="N20:O20"/>
    <mergeCell ref="B23:D23"/>
    <mergeCell ref="N63:O63"/>
    <mergeCell ref="F19:G19"/>
    <mergeCell ref="F63:G63"/>
    <mergeCell ref="R63:S63"/>
    <mergeCell ref="J19:K19"/>
    <mergeCell ref="N23:P23"/>
    <mergeCell ref="F2:H2"/>
    <mergeCell ref="N41:O41"/>
    <mergeCell ref="R19:S19"/>
    <mergeCell ref="B44:D44"/>
    <mergeCell ref="F40:G40"/>
    <mergeCell ref="J40:K40"/>
    <mergeCell ref="N44:P44"/>
    <mergeCell ref="F23:H23"/>
    <mergeCell ref="F21:G21"/>
    <mergeCell ref="R40:S40"/>
    <mergeCell ref="B21:C21"/>
    <mergeCell ref="N21:O21"/>
    <mergeCell ref="F20:G20"/>
    <mergeCell ref="B42:C42"/>
    <mergeCell ref="B61:C61"/>
    <mergeCell ref="N42:O42"/>
    <mergeCell ref="N62:O62"/>
    <mergeCell ref="F42:G42"/>
    <mergeCell ref="N61:O61"/>
    <mergeCell ref="F41:G41"/>
    <mergeCell ref="R21:S21"/>
    <mergeCell ref="J2:L2"/>
    <mergeCell ref="J20:K20"/>
    <mergeCell ref="F62:G62"/>
    <mergeCell ref="R2:T2"/>
    <mergeCell ref="R20:S20"/>
    <mergeCell ref="R42:S42"/>
    <mergeCell ref="B19:C19"/>
    <mergeCell ref="J63:K63"/>
    <mergeCell ref="J23:L23"/>
    <mergeCell ref="J41:K41"/>
    <mergeCell ref="N19:O19"/>
    <mergeCell ref="R23:T23"/>
    <mergeCell ref="R41:S41"/>
    <mergeCell ref="B40:C40"/>
    <mergeCell ref="F44:H44"/>
    <mergeCell ref="J44:L44"/>
    <mergeCell ref="N40:O40"/>
    <mergeCell ref="F61:G61"/>
    <mergeCell ref="R44:T44"/>
    <mergeCell ref="J21:K21"/>
    <mergeCell ref="R62:S62"/>
    <mergeCell ref="B20:C20"/>
    <mergeCell ref="J62:K62"/>
    <mergeCell ref="J42:K42"/>
    <mergeCell ref="B63:C63"/>
    <mergeCell ref="J61:K61"/>
    <mergeCell ref="B41:C41"/>
    <mergeCell ref="R61:S6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E8C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8" customWidth="1" min="4" max="4"/>
    <col width="14" customWidth="1" min="5" max="5"/>
    <col width="15" customWidth="1" min="6" max="6"/>
  </cols>
  <sheetData>
    <row r="1" ht="28" customHeight="1">
      <c r="A1" s="22">
        <f>Balance!A4</f>
        <v/>
      </c>
    </row>
    <row r="3">
      <c r="A3" s="23" t="inlineStr">
        <is>
          <t>Purse (Cr)</t>
        </is>
      </c>
      <c r="B3" s="24">
        <f>Balance!B4</f>
        <v/>
      </c>
    </row>
    <row r="4">
      <c r="A4" s="23" t="inlineStr">
        <is>
          <t>Spent (Cr)</t>
        </is>
      </c>
      <c r="B4" s="24">
        <f>Balance!C4</f>
        <v/>
      </c>
    </row>
    <row r="5">
      <c r="A5" s="25" t="inlineStr">
        <is>
          <t>Balance (Cr)</t>
        </is>
      </c>
      <c r="B5" s="26">
        <f>Balance!D4</f>
        <v/>
      </c>
    </row>
    <row r="6">
      <c r="A6" s="27" t="inlineStr">
        <is>
          <t>Players</t>
        </is>
      </c>
      <c r="B6" s="28">
        <f>Balance!E4</f>
        <v/>
      </c>
    </row>
    <row r="8">
      <c r="A8" s="3" t="inlineStr">
        <is>
          <t>Player</t>
        </is>
      </c>
      <c r="B8" s="3" t="inlineStr">
        <is>
          <t>Price (Cr)</t>
        </is>
      </c>
      <c r="C8" s="3" t="inlineStr">
        <is>
          <t>Role</t>
        </is>
      </c>
      <c r="D8" s="3" t="inlineStr">
        <is>
          <t>Hand</t>
        </is>
      </c>
      <c r="E8" s="3" t="inlineStr">
        <is>
          <t>Country</t>
        </is>
      </c>
      <c r="F8" s="3" t="inlineStr">
        <is>
          <t>City</t>
        </is>
      </c>
    </row>
    <row r="9">
      <c r="A9" s="5">
        <f t="array" ref="A9">IFERROR(INDEX(Auction!$A$5:$A$1000,SMALL(IF(Auction!$C$5:$C$1000=$A$1,ROW(Auction!$C$5:$C$1000)-ROW(Auction!$C$5)+1),ROWS($A$9:A9))),"")</f>
        <v/>
      </c>
      <c r="B9" s="6">
        <f t="array" ref="B9">IFERROR(INDEX(Auction!$B$5:$B$1000,SMALL(IF(Auction!$C$5:$C$1000=$A$1,ROW(Auction!$C$5:$C$1000)-ROW(Auction!$C$5)+1),ROWS($A$9:A9))),"")</f>
        <v/>
      </c>
      <c r="C9" s="7">
        <f>IFERROR(T(VLOOKUP($A9,Players!$A:$E,2,FALSE)),"")</f>
        <v/>
      </c>
      <c r="D9" s="7">
        <f>IFERROR(T(VLOOKUP($A9,Players!$A:$E,3,FALSE)),"")</f>
        <v/>
      </c>
      <c r="E9" s="5">
        <f>IFERROR(T(VLOOKUP($A9,Players!$A:$E,4,FALSE)),"")</f>
        <v/>
      </c>
      <c r="F9" s="5">
        <f>IFERROR(T(VLOOKUP($A9,Players!$A:$E,5,FALSE)),"")</f>
        <v/>
      </c>
    </row>
    <row r="10">
      <c r="A10" s="8">
        <f t="array" ref="A10">IFERROR(INDEX(Auction!$A$5:$A$1000,SMALL(IF(Auction!$C$5:$C$1000=$A$1,ROW(Auction!$C$5:$C$1000)-ROW(Auction!$C$5)+1),ROWS($A$9:A10))),"")</f>
        <v/>
      </c>
      <c r="B10" s="9">
        <f t="array" ref="B10">IFERROR(INDEX(Auction!$B$5:$B$1000,SMALL(IF(Auction!$C$5:$C$1000=$A$1,ROW(Auction!$C$5:$C$1000)-ROW(Auction!$C$5)+1),ROWS($A$9:A10))),"")</f>
        <v/>
      </c>
      <c r="C10" s="10">
        <f>IFERROR(T(VLOOKUP($A10,Players!$A:$E,2,FALSE)),"")</f>
        <v/>
      </c>
      <c r="D10" s="10">
        <f>IFERROR(T(VLOOKUP($A10,Players!$A:$E,3,FALSE)),"")</f>
        <v/>
      </c>
      <c r="E10" s="8">
        <f>IFERROR(T(VLOOKUP($A10,Players!$A:$E,4,FALSE)),"")</f>
        <v/>
      </c>
      <c r="F10" s="8">
        <f>IFERROR(T(VLOOKUP($A10,Players!$A:$E,5,FALSE)),"")</f>
        <v/>
      </c>
    </row>
    <row r="11">
      <c r="A11" s="5">
        <f t="array" ref="A11">IFERROR(INDEX(Auction!$A$5:$A$1000,SMALL(IF(Auction!$C$5:$C$1000=$A$1,ROW(Auction!$C$5:$C$1000)-ROW(Auction!$C$5)+1),ROWS($A$9:A11))),"")</f>
        <v/>
      </c>
      <c r="B11" s="6">
        <f t="array" ref="B11">IFERROR(INDEX(Auction!$B$5:$B$1000,SMALL(IF(Auction!$C$5:$C$1000=$A$1,ROW(Auction!$C$5:$C$1000)-ROW(Auction!$C$5)+1),ROWS($A$9:A11))),"")</f>
        <v/>
      </c>
      <c r="C11" s="7">
        <f>IFERROR(T(VLOOKUP($A11,Players!$A:$E,2,FALSE)),"")</f>
        <v/>
      </c>
      <c r="D11" s="7">
        <f>IFERROR(T(VLOOKUP($A11,Players!$A:$E,3,FALSE)),"")</f>
        <v/>
      </c>
      <c r="E11" s="5">
        <f>IFERROR(T(VLOOKUP($A11,Players!$A:$E,4,FALSE)),"")</f>
        <v/>
      </c>
      <c r="F11" s="5">
        <f>IFERROR(T(VLOOKUP($A11,Players!$A:$E,5,FALSE)),"")</f>
        <v/>
      </c>
    </row>
    <row r="12">
      <c r="A12" s="8">
        <f t="array" ref="A12">IFERROR(INDEX(Auction!$A$5:$A$1000,SMALL(IF(Auction!$C$5:$C$1000=$A$1,ROW(Auction!$C$5:$C$1000)-ROW(Auction!$C$5)+1),ROWS($A$9:A12))),"")</f>
        <v/>
      </c>
      <c r="B12" s="9">
        <f t="array" ref="B12">IFERROR(INDEX(Auction!$B$5:$B$1000,SMALL(IF(Auction!$C$5:$C$1000=$A$1,ROW(Auction!$C$5:$C$1000)-ROW(Auction!$C$5)+1),ROWS($A$9:A12))),"")</f>
        <v/>
      </c>
      <c r="C12" s="10">
        <f>IFERROR(T(VLOOKUP($A12,Players!$A:$E,2,FALSE)),"")</f>
        <v/>
      </c>
      <c r="D12" s="10">
        <f>IFERROR(T(VLOOKUP($A12,Players!$A:$E,3,FALSE)),"")</f>
        <v/>
      </c>
      <c r="E12" s="8">
        <f>IFERROR(T(VLOOKUP($A12,Players!$A:$E,4,FALSE)),"")</f>
        <v/>
      </c>
      <c r="F12" s="8">
        <f>IFERROR(T(VLOOKUP($A12,Players!$A:$E,5,FALSE)),"")</f>
        <v/>
      </c>
    </row>
    <row r="13">
      <c r="A13" s="5">
        <f t="array" ref="A13">IFERROR(INDEX(Auction!$A$5:$A$1000,SMALL(IF(Auction!$C$5:$C$1000=$A$1,ROW(Auction!$C$5:$C$1000)-ROW(Auction!$C$5)+1),ROWS($A$9:A13))),"")</f>
        <v/>
      </c>
      <c r="B13" s="6">
        <f t="array" ref="B13">IFERROR(INDEX(Auction!$B$5:$B$1000,SMALL(IF(Auction!$C$5:$C$1000=$A$1,ROW(Auction!$C$5:$C$1000)-ROW(Auction!$C$5)+1),ROWS($A$9:A13))),"")</f>
        <v/>
      </c>
      <c r="C13" s="7">
        <f>IFERROR(T(VLOOKUP($A13,Players!$A:$E,2,FALSE)),"")</f>
        <v/>
      </c>
      <c r="D13" s="7">
        <f>IFERROR(T(VLOOKUP($A13,Players!$A:$E,3,FALSE)),"")</f>
        <v/>
      </c>
      <c r="E13" s="5">
        <f>IFERROR(T(VLOOKUP($A13,Players!$A:$E,4,FALSE)),"")</f>
        <v/>
      </c>
      <c r="F13" s="5">
        <f>IFERROR(T(VLOOKUP($A13,Players!$A:$E,5,FALSE)),"")</f>
        <v/>
      </c>
    </row>
    <row r="14">
      <c r="A14" s="8">
        <f t="array" ref="A14">IFERROR(INDEX(Auction!$A$5:$A$1000,SMALL(IF(Auction!$C$5:$C$1000=$A$1,ROW(Auction!$C$5:$C$1000)-ROW(Auction!$C$5)+1),ROWS($A$9:A14))),"")</f>
        <v/>
      </c>
      <c r="B14" s="9">
        <f t="array" ref="B14">IFERROR(INDEX(Auction!$B$5:$B$1000,SMALL(IF(Auction!$C$5:$C$1000=$A$1,ROW(Auction!$C$5:$C$1000)-ROW(Auction!$C$5)+1),ROWS($A$9:A14))),"")</f>
        <v/>
      </c>
      <c r="C14" s="10">
        <f>IFERROR(T(VLOOKUP($A14,Players!$A:$E,2,FALSE)),"")</f>
        <v/>
      </c>
      <c r="D14" s="10">
        <f>IFERROR(T(VLOOKUP($A14,Players!$A:$E,3,FALSE)),"")</f>
        <v/>
      </c>
      <c r="E14" s="8">
        <f>IFERROR(T(VLOOKUP($A14,Players!$A:$E,4,FALSE)),"")</f>
        <v/>
      </c>
      <c r="F14" s="8">
        <f>IFERROR(T(VLOOKUP($A14,Players!$A:$E,5,FALSE)),"")</f>
        <v/>
      </c>
    </row>
    <row r="15">
      <c r="A15" s="5">
        <f t="array" ref="A15">IFERROR(INDEX(Auction!$A$5:$A$1000,SMALL(IF(Auction!$C$5:$C$1000=$A$1,ROW(Auction!$C$5:$C$1000)-ROW(Auction!$C$5)+1),ROWS($A$9:A15))),"")</f>
        <v/>
      </c>
      <c r="B15" s="6">
        <f t="array" ref="B15">IFERROR(INDEX(Auction!$B$5:$B$1000,SMALL(IF(Auction!$C$5:$C$1000=$A$1,ROW(Auction!$C$5:$C$1000)-ROW(Auction!$C$5)+1),ROWS($A$9:A15))),"")</f>
        <v/>
      </c>
      <c r="C15" s="7">
        <f>IFERROR(T(VLOOKUP($A15,Players!$A:$E,2,FALSE)),"")</f>
        <v/>
      </c>
      <c r="D15" s="7">
        <f>IFERROR(T(VLOOKUP($A15,Players!$A:$E,3,FALSE)),"")</f>
        <v/>
      </c>
      <c r="E15" s="5">
        <f>IFERROR(T(VLOOKUP($A15,Players!$A:$E,4,FALSE)),"")</f>
        <v/>
      </c>
      <c r="F15" s="5">
        <f>IFERROR(T(VLOOKUP($A15,Players!$A:$E,5,FALSE)),"")</f>
        <v/>
      </c>
    </row>
    <row r="16">
      <c r="A16" s="8">
        <f t="array" ref="A16">IFERROR(INDEX(Auction!$A$5:$A$1000,SMALL(IF(Auction!$C$5:$C$1000=$A$1,ROW(Auction!$C$5:$C$1000)-ROW(Auction!$C$5)+1),ROWS($A$9:A16))),"")</f>
        <v/>
      </c>
      <c r="B16" s="9">
        <f t="array" ref="B16">IFERROR(INDEX(Auction!$B$5:$B$1000,SMALL(IF(Auction!$C$5:$C$1000=$A$1,ROW(Auction!$C$5:$C$1000)-ROW(Auction!$C$5)+1),ROWS($A$9:A16))),"")</f>
        <v/>
      </c>
      <c r="C16" s="10">
        <f>IFERROR(T(VLOOKUP($A16,Players!$A:$E,2,FALSE)),"")</f>
        <v/>
      </c>
      <c r="D16" s="10">
        <f>IFERROR(T(VLOOKUP($A16,Players!$A:$E,3,FALSE)),"")</f>
        <v/>
      </c>
      <c r="E16" s="8">
        <f>IFERROR(T(VLOOKUP($A16,Players!$A:$E,4,FALSE)),"")</f>
        <v/>
      </c>
      <c r="F16" s="8">
        <f>IFERROR(T(VLOOKUP($A16,Players!$A:$E,5,FALSE)),"")</f>
        <v/>
      </c>
    </row>
    <row r="17">
      <c r="A17" s="5">
        <f t="array" ref="A17">IFERROR(INDEX(Auction!$A$5:$A$1000,SMALL(IF(Auction!$C$5:$C$1000=$A$1,ROW(Auction!$C$5:$C$1000)-ROW(Auction!$C$5)+1),ROWS($A$9:A17))),"")</f>
        <v/>
      </c>
      <c r="B17" s="6">
        <f t="array" ref="B17">IFERROR(INDEX(Auction!$B$5:$B$1000,SMALL(IF(Auction!$C$5:$C$1000=$A$1,ROW(Auction!$C$5:$C$1000)-ROW(Auction!$C$5)+1),ROWS($A$9:A17))),"")</f>
        <v/>
      </c>
      <c r="C17" s="7">
        <f>IFERROR(T(VLOOKUP($A17,Players!$A:$E,2,FALSE)),"")</f>
        <v/>
      </c>
      <c r="D17" s="7">
        <f>IFERROR(T(VLOOKUP($A17,Players!$A:$E,3,FALSE)),"")</f>
        <v/>
      </c>
      <c r="E17" s="5">
        <f>IFERROR(T(VLOOKUP($A17,Players!$A:$E,4,FALSE)),"")</f>
        <v/>
      </c>
      <c r="F17" s="5">
        <f>IFERROR(T(VLOOKUP($A17,Players!$A:$E,5,FALSE)),"")</f>
        <v/>
      </c>
    </row>
    <row r="18">
      <c r="A18" s="8">
        <f t="array" ref="A18">IFERROR(INDEX(Auction!$A$5:$A$1000,SMALL(IF(Auction!$C$5:$C$1000=$A$1,ROW(Auction!$C$5:$C$1000)-ROW(Auction!$C$5)+1),ROWS($A$9:A18))),"")</f>
        <v/>
      </c>
      <c r="B18" s="9">
        <f t="array" ref="B18">IFERROR(INDEX(Auction!$B$5:$B$1000,SMALL(IF(Auction!$C$5:$C$1000=$A$1,ROW(Auction!$C$5:$C$1000)-ROW(Auction!$C$5)+1),ROWS($A$9:A18))),"")</f>
        <v/>
      </c>
      <c r="C18" s="10">
        <f>IFERROR(T(VLOOKUP($A18,Players!$A:$E,2,FALSE)),"")</f>
        <v/>
      </c>
      <c r="D18" s="10">
        <f>IFERROR(T(VLOOKUP($A18,Players!$A:$E,3,FALSE)),"")</f>
        <v/>
      </c>
      <c r="E18" s="8">
        <f>IFERROR(T(VLOOKUP($A18,Players!$A:$E,4,FALSE)),"")</f>
        <v/>
      </c>
      <c r="F18" s="8">
        <f>IFERROR(T(VLOOKUP($A18,Players!$A:$E,5,FALSE)),"")</f>
        <v/>
      </c>
    </row>
    <row r="19">
      <c r="A19" s="5">
        <f t="array" ref="A19">IFERROR(INDEX(Auction!$A$5:$A$1000,SMALL(IF(Auction!$C$5:$C$1000=$A$1,ROW(Auction!$C$5:$C$1000)-ROW(Auction!$C$5)+1),ROWS($A$9:A19))),"")</f>
        <v/>
      </c>
      <c r="B19" s="6">
        <f t="array" ref="B19">IFERROR(INDEX(Auction!$B$5:$B$1000,SMALL(IF(Auction!$C$5:$C$1000=$A$1,ROW(Auction!$C$5:$C$1000)-ROW(Auction!$C$5)+1),ROWS($A$9:A19))),"")</f>
        <v/>
      </c>
      <c r="C19" s="7">
        <f>IFERROR(T(VLOOKUP($A19,Players!$A:$E,2,FALSE)),"")</f>
        <v/>
      </c>
      <c r="D19" s="7">
        <f>IFERROR(T(VLOOKUP($A19,Players!$A:$E,3,FALSE)),"")</f>
        <v/>
      </c>
      <c r="E19" s="5">
        <f>IFERROR(T(VLOOKUP($A19,Players!$A:$E,4,FALSE)),"")</f>
        <v/>
      </c>
      <c r="F19" s="5">
        <f>IFERROR(T(VLOOKUP($A19,Players!$A:$E,5,FALSE)),"")</f>
        <v/>
      </c>
    </row>
    <row r="20">
      <c r="A20" s="8">
        <f t="array" ref="A20">IFERROR(INDEX(Auction!$A$5:$A$1000,SMALL(IF(Auction!$C$5:$C$1000=$A$1,ROW(Auction!$C$5:$C$1000)-ROW(Auction!$C$5)+1),ROWS($A$9:A20))),"")</f>
        <v/>
      </c>
      <c r="B20" s="9">
        <f t="array" ref="B20">IFERROR(INDEX(Auction!$B$5:$B$1000,SMALL(IF(Auction!$C$5:$C$1000=$A$1,ROW(Auction!$C$5:$C$1000)-ROW(Auction!$C$5)+1),ROWS($A$9:A20))),"")</f>
        <v/>
      </c>
      <c r="C20" s="10">
        <f>IFERROR(T(VLOOKUP($A20,Players!$A:$E,2,FALSE)),"")</f>
        <v/>
      </c>
      <c r="D20" s="10">
        <f>IFERROR(T(VLOOKUP($A20,Players!$A:$E,3,FALSE)),"")</f>
        <v/>
      </c>
      <c r="E20" s="8">
        <f>IFERROR(T(VLOOKUP($A20,Players!$A:$E,4,FALSE)),"")</f>
        <v/>
      </c>
      <c r="F20" s="8">
        <f>IFERROR(T(VLOOKUP($A20,Players!$A:$E,5,FALSE)),"")</f>
        <v/>
      </c>
    </row>
    <row r="21">
      <c r="A21" s="5">
        <f t="array" ref="A21">IFERROR(INDEX(Auction!$A$5:$A$1000,SMALL(IF(Auction!$C$5:$C$1000=$A$1,ROW(Auction!$C$5:$C$1000)-ROW(Auction!$C$5)+1),ROWS($A$9:A21))),"")</f>
        <v/>
      </c>
      <c r="B21" s="6">
        <f t="array" ref="B21">IFERROR(INDEX(Auction!$B$5:$B$1000,SMALL(IF(Auction!$C$5:$C$1000=$A$1,ROW(Auction!$C$5:$C$1000)-ROW(Auction!$C$5)+1),ROWS($A$9:A21))),"")</f>
        <v/>
      </c>
      <c r="C21" s="7">
        <f>IFERROR(T(VLOOKUP($A21,Players!$A:$E,2,FALSE)),"")</f>
        <v/>
      </c>
      <c r="D21" s="7">
        <f>IFERROR(T(VLOOKUP($A21,Players!$A:$E,3,FALSE)),"")</f>
        <v/>
      </c>
      <c r="E21" s="5">
        <f>IFERROR(T(VLOOKUP($A21,Players!$A:$E,4,FALSE)),"")</f>
        <v/>
      </c>
      <c r="F21" s="5">
        <f>IFERROR(T(VLOOKUP($A21,Players!$A:$E,5,FALSE)),"")</f>
        <v/>
      </c>
    </row>
    <row r="22">
      <c r="A22" s="8">
        <f t="array" ref="A22">IFERROR(INDEX(Auction!$A$5:$A$1000,SMALL(IF(Auction!$C$5:$C$1000=$A$1,ROW(Auction!$C$5:$C$1000)-ROW(Auction!$C$5)+1),ROWS($A$9:A22))),"")</f>
        <v/>
      </c>
      <c r="B22" s="9">
        <f t="array" ref="B22">IFERROR(INDEX(Auction!$B$5:$B$1000,SMALL(IF(Auction!$C$5:$C$1000=$A$1,ROW(Auction!$C$5:$C$1000)-ROW(Auction!$C$5)+1),ROWS($A$9:A22))),"")</f>
        <v/>
      </c>
      <c r="C22" s="10">
        <f>IFERROR(T(VLOOKUP($A22,Players!$A:$E,2,FALSE)),"")</f>
        <v/>
      </c>
      <c r="D22" s="10">
        <f>IFERROR(T(VLOOKUP($A22,Players!$A:$E,3,FALSE)),"")</f>
        <v/>
      </c>
      <c r="E22" s="8">
        <f>IFERROR(T(VLOOKUP($A22,Players!$A:$E,4,FALSE)),"")</f>
        <v/>
      </c>
      <c r="F22" s="8">
        <f>IFERROR(T(VLOOKUP($A22,Players!$A:$E,5,FALSE)),"")</f>
        <v/>
      </c>
    </row>
    <row r="23">
      <c r="A23" s="5">
        <f t="array" ref="A23">IFERROR(INDEX(Auction!$A$5:$A$1000,SMALL(IF(Auction!$C$5:$C$1000=$A$1,ROW(Auction!$C$5:$C$1000)-ROW(Auction!$C$5)+1),ROWS($A$9:A23))),"")</f>
        <v/>
      </c>
      <c r="B23" s="6">
        <f t="array" ref="B23">IFERROR(INDEX(Auction!$B$5:$B$1000,SMALL(IF(Auction!$C$5:$C$1000=$A$1,ROW(Auction!$C$5:$C$1000)-ROW(Auction!$C$5)+1),ROWS($A$9:A23))),"")</f>
        <v/>
      </c>
      <c r="C23" s="7">
        <f>IFERROR(T(VLOOKUP($A23,Players!$A:$E,2,FALSE)),"")</f>
        <v/>
      </c>
      <c r="D23" s="7">
        <f>IFERROR(T(VLOOKUP($A23,Players!$A:$E,3,FALSE)),"")</f>
        <v/>
      </c>
      <c r="E23" s="5">
        <f>IFERROR(T(VLOOKUP($A23,Players!$A:$E,4,FALSE)),"")</f>
        <v/>
      </c>
      <c r="F23" s="5">
        <f>IFERROR(T(VLOOKUP($A23,Players!$A:$E,5,FALSE)),"")</f>
        <v/>
      </c>
    </row>
    <row r="24">
      <c r="A24" s="8">
        <f t="array" ref="A24">IFERROR(INDEX(Auction!$A$5:$A$1000,SMALL(IF(Auction!$C$5:$C$1000=$A$1,ROW(Auction!$C$5:$C$1000)-ROW(Auction!$C$5)+1),ROWS($A$9:A24))),"")</f>
        <v/>
      </c>
      <c r="B24" s="9">
        <f t="array" ref="B24">IFERROR(INDEX(Auction!$B$5:$B$1000,SMALL(IF(Auction!$C$5:$C$1000=$A$1,ROW(Auction!$C$5:$C$1000)-ROW(Auction!$C$5)+1),ROWS($A$9:A24))),"")</f>
        <v/>
      </c>
      <c r="C24" s="10">
        <f>IFERROR(T(VLOOKUP($A24,Players!$A:$E,2,FALSE)),"")</f>
        <v/>
      </c>
      <c r="D24" s="10">
        <f>IFERROR(T(VLOOKUP($A24,Players!$A:$E,3,FALSE)),"")</f>
        <v/>
      </c>
      <c r="E24" s="8">
        <f>IFERROR(T(VLOOKUP($A24,Players!$A:$E,4,FALSE)),"")</f>
        <v/>
      </c>
      <c r="F24" s="8">
        <f>IFERROR(T(VLOOKUP($A24,Players!$A:$E,5,FALSE)),"")</f>
        <v/>
      </c>
    </row>
    <row r="25">
      <c r="A25" s="5">
        <f t="array" ref="A25">IFERROR(INDEX(Auction!$A$5:$A$1000,SMALL(IF(Auction!$C$5:$C$1000=$A$1,ROW(Auction!$C$5:$C$1000)-ROW(Auction!$C$5)+1),ROWS($A$9:A25))),"")</f>
        <v/>
      </c>
      <c r="B25" s="6">
        <f t="array" ref="B25">IFERROR(INDEX(Auction!$B$5:$B$1000,SMALL(IF(Auction!$C$5:$C$1000=$A$1,ROW(Auction!$C$5:$C$1000)-ROW(Auction!$C$5)+1),ROWS($A$9:A25))),"")</f>
        <v/>
      </c>
      <c r="C25" s="7">
        <f>IFERROR(T(VLOOKUP($A25,Players!$A:$E,2,FALSE)),"")</f>
        <v/>
      </c>
      <c r="D25" s="7">
        <f>IFERROR(T(VLOOKUP($A25,Players!$A:$E,3,FALSE)),"")</f>
        <v/>
      </c>
      <c r="E25" s="5">
        <f>IFERROR(T(VLOOKUP($A25,Players!$A:$E,4,FALSE)),"")</f>
        <v/>
      </c>
      <c r="F25" s="5">
        <f>IFERROR(T(VLOOKUP($A25,Players!$A:$E,5,FALSE)),"")</f>
        <v/>
      </c>
    </row>
    <row r="26">
      <c r="A26" s="8">
        <f t="array" ref="A26">IFERROR(INDEX(Auction!$A$5:$A$1000,SMALL(IF(Auction!$C$5:$C$1000=$A$1,ROW(Auction!$C$5:$C$1000)-ROW(Auction!$C$5)+1),ROWS($A$9:A26))),"")</f>
        <v/>
      </c>
      <c r="B26" s="9">
        <f t="array" ref="B26">IFERROR(INDEX(Auction!$B$5:$B$1000,SMALL(IF(Auction!$C$5:$C$1000=$A$1,ROW(Auction!$C$5:$C$1000)-ROW(Auction!$C$5)+1),ROWS($A$9:A26))),"")</f>
        <v/>
      </c>
      <c r="C26" s="10">
        <f>IFERROR(T(VLOOKUP($A26,Players!$A:$E,2,FALSE)),"")</f>
        <v/>
      </c>
      <c r="D26" s="10">
        <f>IFERROR(T(VLOOKUP($A26,Players!$A:$E,3,FALSE)),"")</f>
        <v/>
      </c>
      <c r="E26" s="8">
        <f>IFERROR(T(VLOOKUP($A26,Players!$A:$E,4,FALSE)),"")</f>
        <v/>
      </c>
      <c r="F26" s="8">
        <f>IFERROR(T(VLOOKUP($A26,Players!$A:$E,5,FALSE)),"")</f>
        <v/>
      </c>
    </row>
    <row r="27">
      <c r="A27" s="5">
        <f t="array" ref="A27">IFERROR(INDEX(Auction!$A$5:$A$1000,SMALL(IF(Auction!$C$5:$C$1000=$A$1,ROW(Auction!$C$5:$C$1000)-ROW(Auction!$C$5)+1),ROWS($A$9:A27))),"")</f>
        <v/>
      </c>
      <c r="B27" s="6">
        <f t="array" ref="B27">IFERROR(INDEX(Auction!$B$5:$B$1000,SMALL(IF(Auction!$C$5:$C$1000=$A$1,ROW(Auction!$C$5:$C$1000)-ROW(Auction!$C$5)+1),ROWS($A$9:A27))),"")</f>
        <v/>
      </c>
      <c r="C27" s="7">
        <f>IFERROR(T(VLOOKUP($A27,Players!$A:$E,2,FALSE)),"")</f>
        <v/>
      </c>
      <c r="D27" s="7">
        <f>IFERROR(T(VLOOKUP($A27,Players!$A:$E,3,FALSE)),"")</f>
        <v/>
      </c>
      <c r="E27" s="5">
        <f>IFERROR(T(VLOOKUP($A27,Players!$A:$E,4,FALSE)),"")</f>
        <v/>
      </c>
      <c r="F27" s="5">
        <f>IFERROR(T(VLOOKUP($A27,Players!$A:$E,5,FALSE)),"")</f>
        <v/>
      </c>
    </row>
    <row r="28">
      <c r="A28" s="8">
        <f t="array" ref="A28">IFERROR(INDEX(Auction!$A$5:$A$1000,SMALL(IF(Auction!$C$5:$C$1000=$A$1,ROW(Auction!$C$5:$C$1000)-ROW(Auction!$C$5)+1),ROWS($A$9:A28))),"")</f>
        <v/>
      </c>
      <c r="B28" s="9">
        <f t="array" ref="B28">IFERROR(INDEX(Auction!$B$5:$B$1000,SMALL(IF(Auction!$C$5:$C$1000=$A$1,ROW(Auction!$C$5:$C$1000)-ROW(Auction!$C$5)+1),ROWS($A$9:A28))),"")</f>
        <v/>
      </c>
      <c r="C28" s="10">
        <f>IFERROR(T(VLOOKUP($A28,Players!$A:$E,2,FALSE)),"")</f>
        <v/>
      </c>
      <c r="D28" s="10">
        <f>IFERROR(T(VLOOKUP($A28,Players!$A:$E,3,FALSE)),"")</f>
        <v/>
      </c>
      <c r="E28" s="8">
        <f>IFERROR(T(VLOOKUP($A28,Players!$A:$E,4,FALSE)),"")</f>
        <v/>
      </c>
      <c r="F28" s="8">
        <f>IFERROR(T(VLOOKUP($A28,Players!$A:$E,5,FALSE)),"")</f>
        <v/>
      </c>
    </row>
    <row r="29">
      <c r="A29" s="5">
        <f t="array" ref="A29">IFERROR(INDEX(Auction!$A$5:$A$1000,SMALL(IF(Auction!$C$5:$C$1000=$A$1,ROW(Auction!$C$5:$C$1000)-ROW(Auction!$C$5)+1),ROWS($A$9:A29))),"")</f>
        <v/>
      </c>
      <c r="B29" s="6">
        <f t="array" ref="B29">IFERROR(INDEX(Auction!$B$5:$B$1000,SMALL(IF(Auction!$C$5:$C$1000=$A$1,ROW(Auction!$C$5:$C$1000)-ROW(Auction!$C$5)+1),ROWS($A$9:A29))),"")</f>
        <v/>
      </c>
      <c r="C29" s="7">
        <f>IFERROR(T(VLOOKUP($A29,Players!$A:$E,2,FALSE)),"")</f>
        <v/>
      </c>
      <c r="D29" s="7">
        <f>IFERROR(T(VLOOKUP($A29,Players!$A:$E,3,FALSE)),"")</f>
        <v/>
      </c>
      <c r="E29" s="5">
        <f>IFERROR(T(VLOOKUP($A29,Players!$A:$E,4,FALSE)),"")</f>
        <v/>
      </c>
      <c r="F29" s="5">
        <f>IFERROR(T(VLOOKUP($A29,Players!$A:$E,5,FALSE)),"")</f>
        <v/>
      </c>
    </row>
    <row r="30">
      <c r="A30" s="8">
        <f t="array" ref="A30">IFERROR(INDEX(Auction!$A$5:$A$1000,SMALL(IF(Auction!$C$5:$C$1000=$A$1,ROW(Auction!$C$5:$C$1000)-ROW(Auction!$C$5)+1),ROWS($A$9:A30))),"")</f>
        <v/>
      </c>
      <c r="B30" s="9">
        <f t="array" ref="B30">IFERROR(INDEX(Auction!$B$5:$B$1000,SMALL(IF(Auction!$C$5:$C$1000=$A$1,ROW(Auction!$C$5:$C$1000)-ROW(Auction!$C$5)+1),ROWS($A$9:A30))),"")</f>
        <v/>
      </c>
      <c r="C30" s="10">
        <f>IFERROR(T(VLOOKUP($A30,Players!$A:$E,2,FALSE)),"")</f>
        <v/>
      </c>
      <c r="D30" s="10">
        <f>IFERROR(T(VLOOKUP($A30,Players!$A:$E,3,FALSE)),"")</f>
        <v/>
      </c>
      <c r="E30" s="8">
        <f>IFERROR(T(VLOOKUP($A30,Players!$A:$E,4,FALSE)),"")</f>
        <v/>
      </c>
      <c r="F30" s="8">
        <f>IFERROR(T(VLOOKUP($A30,Players!$A:$E,5,FALSE)),"")</f>
        <v/>
      </c>
    </row>
    <row r="31">
      <c r="A31" s="5">
        <f t="array" ref="A31">IFERROR(INDEX(Auction!$A$5:$A$1000,SMALL(IF(Auction!$C$5:$C$1000=$A$1,ROW(Auction!$C$5:$C$1000)-ROW(Auction!$C$5)+1),ROWS($A$9:A31))),"")</f>
        <v/>
      </c>
      <c r="B31" s="6">
        <f t="array" ref="B31">IFERROR(INDEX(Auction!$B$5:$B$1000,SMALL(IF(Auction!$C$5:$C$1000=$A$1,ROW(Auction!$C$5:$C$1000)-ROW(Auction!$C$5)+1),ROWS($A$9:A31))),"")</f>
        <v/>
      </c>
      <c r="C31" s="7">
        <f>IFERROR(T(VLOOKUP($A31,Players!$A:$E,2,FALSE)),"")</f>
        <v/>
      </c>
      <c r="D31" s="7">
        <f>IFERROR(T(VLOOKUP($A31,Players!$A:$E,3,FALSE)),"")</f>
        <v/>
      </c>
      <c r="E31" s="5">
        <f>IFERROR(T(VLOOKUP($A31,Players!$A:$E,4,FALSE)),"")</f>
        <v/>
      </c>
      <c r="F31" s="5">
        <f>IFERROR(T(VLOOKUP($A31,Players!$A:$E,5,FALSE)),"")</f>
        <v/>
      </c>
    </row>
    <row r="32">
      <c r="A32" s="8">
        <f t="array" ref="A32">IFERROR(INDEX(Auction!$A$5:$A$1000,SMALL(IF(Auction!$C$5:$C$1000=$A$1,ROW(Auction!$C$5:$C$1000)-ROW(Auction!$C$5)+1),ROWS($A$9:A32))),"")</f>
        <v/>
      </c>
      <c r="B32" s="9">
        <f t="array" ref="B32">IFERROR(INDEX(Auction!$B$5:$B$1000,SMALL(IF(Auction!$C$5:$C$1000=$A$1,ROW(Auction!$C$5:$C$1000)-ROW(Auction!$C$5)+1),ROWS($A$9:A32))),"")</f>
        <v/>
      </c>
      <c r="C32" s="10">
        <f>IFERROR(T(VLOOKUP($A32,Players!$A:$E,2,FALSE)),"")</f>
        <v/>
      </c>
      <c r="D32" s="10">
        <f>IFERROR(T(VLOOKUP($A32,Players!$A:$E,3,FALSE)),"")</f>
        <v/>
      </c>
      <c r="E32" s="8">
        <f>IFERROR(T(VLOOKUP($A32,Players!$A:$E,4,FALSE)),"")</f>
        <v/>
      </c>
      <c r="F32" s="8">
        <f>IFERROR(T(VLOOKUP($A32,Players!$A:$E,5,FALSE)),"")</f>
        <v/>
      </c>
    </row>
    <row r="33">
      <c r="A33" s="5">
        <f t="array" ref="A33">IFERROR(INDEX(Auction!$A$5:$A$1000,SMALL(IF(Auction!$C$5:$C$1000=$A$1,ROW(Auction!$C$5:$C$1000)-ROW(Auction!$C$5)+1),ROWS($A$9:A33))),"")</f>
        <v/>
      </c>
      <c r="B33" s="6">
        <f t="array" ref="B33">IFERROR(INDEX(Auction!$B$5:$B$1000,SMALL(IF(Auction!$C$5:$C$1000=$A$1,ROW(Auction!$C$5:$C$1000)-ROW(Auction!$C$5)+1),ROWS($A$9:A33))),"")</f>
        <v/>
      </c>
      <c r="C33" s="7">
        <f>IFERROR(T(VLOOKUP($A33,Players!$A:$E,2,FALSE)),"")</f>
        <v/>
      </c>
      <c r="D33" s="7">
        <f>IFERROR(T(VLOOKUP($A33,Players!$A:$E,3,FALSE)),"")</f>
        <v/>
      </c>
      <c r="E33" s="5">
        <f>IFERROR(T(VLOOKUP($A33,Players!$A:$E,4,FALSE)),"")</f>
        <v/>
      </c>
      <c r="F33" s="5">
        <f>IFERROR(T(VLOOKUP($A33,Players!$A:$E,5,FALSE)),"")</f>
        <v/>
      </c>
    </row>
    <row r="34">
      <c r="A34" s="8">
        <f t="array" ref="A34">IFERROR(INDEX(Auction!$A$5:$A$1000,SMALL(IF(Auction!$C$5:$C$1000=$A$1,ROW(Auction!$C$5:$C$1000)-ROW(Auction!$C$5)+1),ROWS($A$9:A34))),"")</f>
        <v/>
      </c>
      <c r="B34" s="9">
        <f t="array" ref="B34">IFERROR(INDEX(Auction!$B$5:$B$1000,SMALL(IF(Auction!$C$5:$C$1000=$A$1,ROW(Auction!$C$5:$C$1000)-ROW(Auction!$C$5)+1),ROWS($A$9:A34))),"")</f>
        <v/>
      </c>
      <c r="C34" s="10">
        <f>IFERROR(T(VLOOKUP($A34,Players!$A:$E,2,FALSE)),"")</f>
        <v/>
      </c>
      <c r="D34" s="10">
        <f>IFERROR(T(VLOOKUP($A34,Players!$A:$E,3,FALSE)),"")</f>
        <v/>
      </c>
      <c r="E34" s="8">
        <f>IFERROR(T(VLOOKUP($A34,Players!$A:$E,4,FALSE)),"")</f>
        <v/>
      </c>
      <c r="F34" s="8">
        <f>IFERROR(T(VLOOKUP($A34,Players!$A:$E,5,FALSE)),"")</f>
        <v/>
      </c>
    </row>
    <row r="35">
      <c r="A35" s="5">
        <f t="array" ref="A35">IFERROR(INDEX(Auction!$A$5:$A$1000,SMALL(IF(Auction!$C$5:$C$1000=$A$1,ROW(Auction!$C$5:$C$1000)-ROW(Auction!$C$5)+1),ROWS($A$9:A35))),"")</f>
        <v/>
      </c>
      <c r="B35" s="6">
        <f t="array" ref="B35">IFERROR(INDEX(Auction!$B$5:$B$1000,SMALL(IF(Auction!$C$5:$C$1000=$A$1,ROW(Auction!$C$5:$C$1000)-ROW(Auction!$C$5)+1),ROWS($A$9:A35))),"")</f>
        <v/>
      </c>
      <c r="C35" s="7">
        <f>IFERROR(T(VLOOKUP($A35,Players!$A:$E,2,FALSE)),"")</f>
        <v/>
      </c>
      <c r="D35" s="7">
        <f>IFERROR(T(VLOOKUP($A35,Players!$A:$E,3,FALSE)),"")</f>
        <v/>
      </c>
      <c r="E35" s="5">
        <f>IFERROR(T(VLOOKUP($A35,Players!$A:$E,4,FALSE)),"")</f>
        <v/>
      </c>
      <c r="F35" s="5">
        <f>IFERROR(T(VLOOKUP($A35,Players!$A:$E,5,FALSE)),"")</f>
        <v/>
      </c>
    </row>
    <row r="36">
      <c r="A36" s="8">
        <f t="array" ref="A36">IFERROR(INDEX(Auction!$A$5:$A$1000,SMALL(IF(Auction!$C$5:$C$1000=$A$1,ROW(Auction!$C$5:$C$1000)-ROW(Auction!$C$5)+1),ROWS($A$9:A36))),"")</f>
        <v/>
      </c>
      <c r="B36" s="9">
        <f t="array" ref="B36">IFERROR(INDEX(Auction!$B$5:$B$1000,SMALL(IF(Auction!$C$5:$C$1000=$A$1,ROW(Auction!$C$5:$C$1000)-ROW(Auction!$C$5)+1),ROWS($A$9:A36))),"")</f>
        <v/>
      </c>
      <c r="C36" s="10">
        <f>IFERROR(T(VLOOKUP($A36,Players!$A:$E,2,FALSE)),"")</f>
        <v/>
      </c>
      <c r="D36" s="10">
        <f>IFERROR(T(VLOOKUP($A36,Players!$A:$E,3,FALSE)),"")</f>
        <v/>
      </c>
      <c r="E36" s="8">
        <f>IFERROR(T(VLOOKUP($A36,Players!$A:$E,4,FALSE)),"")</f>
        <v/>
      </c>
      <c r="F36" s="8">
        <f>IFERROR(T(VLOOKUP($A36,Players!$A:$E,5,FALSE)),"")</f>
        <v/>
      </c>
    </row>
    <row r="37">
      <c r="A37" s="5">
        <f t="array" ref="A37">IFERROR(INDEX(Auction!$A$5:$A$1000,SMALL(IF(Auction!$C$5:$C$1000=$A$1,ROW(Auction!$C$5:$C$1000)-ROW(Auction!$C$5)+1),ROWS($A$9:A37))),"")</f>
        <v/>
      </c>
      <c r="B37" s="6">
        <f t="array" ref="B37">IFERROR(INDEX(Auction!$B$5:$B$1000,SMALL(IF(Auction!$C$5:$C$1000=$A$1,ROW(Auction!$C$5:$C$1000)-ROW(Auction!$C$5)+1),ROWS($A$9:A37))),"")</f>
        <v/>
      </c>
      <c r="C37" s="7">
        <f>IFERROR(T(VLOOKUP($A37,Players!$A:$E,2,FALSE)),"")</f>
        <v/>
      </c>
      <c r="D37" s="7">
        <f>IFERROR(T(VLOOKUP($A37,Players!$A:$E,3,FALSE)),"")</f>
        <v/>
      </c>
      <c r="E37" s="5">
        <f>IFERROR(T(VLOOKUP($A37,Players!$A:$E,4,FALSE)),"")</f>
        <v/>
      </c>
      <c r="F37" s="5">
        <f>IFERROR(T(VLOOKUP($A37,Players!$A:$E,5,FALSE)),"")</f>
        <v/>
      </c>
    </row>
    <row r="38">
      <c r="A38" s="8">
        <f t="array" ref="A38">IFERROR(INDEX(Auction!$A$5:$A$1000,SMALL(IF(Auction!$C$5:$C$1000=$A$1,ROW(Auction!$C$5:$C$1000)-ROW(Auction!$C$5)+1),ROWS($A$9:A38))),"")</f>
        <v/>
      </c>
      <c r="B38" s="9">
        <f t="array" ref="B38">IFERROR(INDEX(Auction!$B$5:$B$1000,SMALL(IF(Auction!$C$5:$C$1000=$A$1,ROW(Auction!$C$5:$C$1000)-ROW(Auction!$C$5)+1),ROWS($A$9:A38))),"")</f>
        <v/>
      </c>
      <c r="C38" s="10">
        <f>IFERROR(T(VLOOKUP($A38,Players!$A:$E,2,FALSE)),"")</f>
        <v/>
      </c>
      <c r="D38" s="10">
        <f>IFERROR(T(VLOOKUP($A38,Players!$A:$E,3,FALSE)),"")</f>
        <v/>
      </c>
      <c r="E38" s="8">
        <f>IFERROR(T(VLOOKUP($A38,Players!$A:$E,4,FALSE)),"")</f>
        <v/>
      </c>
      <c r="F38" s="8">
        <f>IFERROR(T(VLOOKUP($A38,Players!$A:$E,5,FALSE)),"")</f>
        <v/>
      </c>
    </row>
    <row r="39">
      <c r="A39" s="5">
        <f t="array" ref="A39">IFERROR(INDEX(Auction!$A$5:$A$1000,SMALL(IF(Auction!$C$5:$C$1000=$A$1,ROW(Auction!$C$5:$C$1000)-ROW(Auction!$C$5)+1),ROWS($A$9:A39))),"")</f>
        <v/>
      </c>
      <c r="B39" s="6">
        <f t="array" ref="B39">IFERROR(INDEX(Auction!$B$5:$B$1000,SMALL(IF(Auction!$C$5:$C$1000=$A$1,ROW(Auction!$C$5:$C$1000)-ROW(Auction!$C$5)+1),ROWS($A$9:A39))),"")</f>
        <v/>
      </c>
      <c r="C39" s="7">
        <f>IFERROR(T(VLOOKUP($A39,Players!$A:$E,2,FALSE)),"")</f>
        <v/>
      </c>
      <c r="D39" s="7">
        <f>IFERROR(T(VLOOKUP($A39,Players!$A:$E,3,FALSE)),"")</f>
        <v/>
      </c>
      <c r="E39" s="5">
        <f>IFERROR(T(VLOOKUP($A39,Players!$A:$E,4,FALSE)),"")</f>
        <v/>
      </c>
      <c r="F39" s="5">
        <f>IFERROR(T(VLOOKUP($A39,Players!$A:$E,5,FALSE)),"")</f>
        <v/>
      </c>
    </row>
    <row r="40">
      <c r="A40" s="8">
        <f t="array" ref="A40">IFERROR(INDEX(Auction!$A$5:$A$1000,SMALL(IF(Auction!$C$5:$C$1000=$A$1,ROW(Auction!$C$5:$C$1000)-ROW(Auction!$C$5)+1),ROWS($A$9:A40))),"")</f>
        <v/>
      </c>
      <c r="B40" s="9">
        <f t="array" ref="B40">IFERROR(INDEX(Auction!$B$5:$B$1000,SMALL(IF(Auction!$C$5:$C$1000=$A$1,ROW(Auction!$C$5:$C$1000)-ROW(Auction!$C$5)+1),ROWS($A$9:A40))),"")</f>
        <v/>
      </c>
      <c r="C40" s="10">
        <f>IFERROR(T(VLOOKUP($A40,Players!$A:$E,2,FALSE)),"")</f>
        <v/>
      </c>
      <c r="D40" s="10">
        <f>IFERROR(T(VLOOKUP($A40,Players!$A:$E,3,FALSE)),"")</f>
        <v/>
      </c>
      <c r="E40" s="8">
        <f>IFERROR(T(VLOOKUP($A40,Players!$A:$E,4,FALSE)),"")</f>
        <v/>
      </c>
      <c r="F40" s="8">
        <f>IFERROR(T(VLOOKUP($A40,Players!$A:$E,5,FALSE)),"")</f>
        <v/>
      </c>
    </row>
    <row r="41">
      <c r="A41" s="5">
        <f t="array" ref="A41">IFERROR(INDEX(Auction!$A$5:$A$1000,SMALL(IF(Auction!$C$5:$C$1000=$A$1,ROW(Auction!$C$5:$C$1000)-ROW(Auction!$C$5)+1),ROWS($A$9:A41))),"")</f>
        <v/>
      </c>
      <c r="B41" s="6">
        <f t="array" ref="B41">IFERROR(INDEX(Auction!$B$5:$B$1000,SMALL(IF(Auction!$C$5:$C$1000=$A$1,ROW(Auction!$C$5:$C$1000)-ROW(Auction!$C$5)+1),ROWS($A$9:A41))),"")</f>
        <v/>
      </c>
      <c r="C41" s="7">
        <f>IFERROR(T(VLOOKUP($A41,Players!$A:$E,2,FALSE)),"")</f>
        <v/>
      </c>
      <c r="D41" s="7">
        <f>IFERROR(T(VLOOKUP($A41,Players!$A:$E,3,FALSE)),"")</f>
        <v/>
      </c>
      <c r="E41" s="5">
        <f>IFERROR(T(VLOOKUP($A41,Players!$A:$E,4,FALSE)),"")</f>
        <v/>
      </c>
      <c r="F41" s="5">
        <f>IFERROR(T(VLOOKUP($A41,Players!$A:$E,5,FALSE)),"")</f>
        <v/>
      </c>
    </row>
    <row r="42">
      <c r="A42" s="8">
        <f t="array" ref="A42">IFERROR(INDEX(Auction!$A$5:$A$1000,SMALL(IF(Auction!$C$5:$C$1000=$A$1,ROW(Auction!$C$5:$C$1000)-ROW(Auction!$C$5)+1),ROWS($A$9:A42))),"")</f>
        <v/>
      </c>
      <c r="B42" s="9">
        <f t="array" ref="B42">IFERROR(INDEX(Auction!$B$5:$B$1000,SMALL(IF(Auction!$C$5:$C$1000=$A$1,ROW(Auction!$C$5:$C$1000)-ROW(Auction!$C$5)+1),ROWS($A$9:A42))),"")</f>
        <v/>
      </c>
      <c r="C42" s="10">
        <f>IFERROR(T(VLOOKUP($A42,Players!$A:$E,2,FALSE)),"")</f>
        <v/>
      </c>
      <c r="D42" s="10">
        <f>IFERROR(T(VLOOKUP($A42,Players!$A:$E,3,FALSE)),"")</f>
        <v/>
      </c>
      <c r="E42" s="8">
        <f>IFERROR(T(VLOOKUP($A42,Players!$A:$E,4,FALSE)),"")</f>
        <v/>
      </c>
      <c r="F42" s="8">
        <f>IFERROR(T(VLOOKUP($A42,Players!$A:$E,5,FALSE)),"")</f>
        <v/>
      </c>
    </row>
    <row r="43">
      <c r="A43" s="5">
        <f t="array" ref="A43">IFERROR(INDEX(Auction!$A$5:$A$1000,SMALL(IF(Auction!$C$5:$C$1000=$A$1,ROW(Auction!$C$5:$C$1000)-ROW(Auction!$C$5)+1),ROWS($A$9:A43))),"")</f>
        <v/>
      </c>
      <c r="B43" s="6">
        <f t="array" ref="B43">IFERROR(INDEX(Auction!$B$5:$B$1000,SMALL(IF(Auction!$C$5:$C$1000=$A$1,ROW(Auction!$C$5:$C$1000)-ROW(Auction!$C$5)+1),ROWS($A$9:A43))),"")</f>
        <v/>
      </c>
      <c r="C43" s="7">
        <f>IFERROR(T(VLOOKUP($A43,Players!$A:$E,2,FALSE)),"")</f>
        <v/>
      </c>
      <c r="D43" s="7">
        <f>IFERROR(T(VLOOKUP($A43,Players!$A:$E,3,FALSE)),"")</f>
        <v/>
      </c>
      <c r="E43" s="5">
        <f>IFERROR(T(VLOOKUP($A43,Players!$A:$E,4,FALSE)),"")</f>
        <v/>
      </c>
      <c r="F43" s="5">
        <f>IFERROR(T(VLOOKUP($A43,Players!$A:$E,5,FALSE)),"")</f>
        <v/>
      </c>
    </row>
    <row r="44">
      <c r="A44" s="8">
        <f t="array" ref="A44">IFERROR(INDEX(Auction!$A$5:$A$1000,SMALL(IF(Auction!$C$5:$C$1000=$A$1,ROW(Auction!$C$5:$C$1000)-ROW(Auction!$C$5)+1),ROWS($A$9:A44))),"")</f>
        <v/>
      </c>
      <c r="B44" s="9">
        <f t="array" ref="B44">IFERROR(INDEX(Auction!$B$5:$B$1000,SMALL(IF(Auction!$C$5:$C$1000=$A$1,ROW(Auction!$C$5:$C$1000)-ROW(Auction!$C$5)+1),ROWS($A$9:A44))),"")</f>
        <v/>
      </c>
      <c r="C44" s="10">
        <f>IFERROR(T(VLOOKUP($A44,Players!$A:$E,2,FALSE)),"")</f>
        <v/>
      </c>
      <c r="D44" s="10">
        <f>IFERROR(T(VLOOKUP($A44,Players!$A:$E,3,FALSE)),"")</f>
        <v/>
      </c>
      <c r="E44" s="8">
        <f>IFERROR(T(VLOOKUP($A44,Players!$A:$E,4,FALSE)),"")</f>
        <v/>
      </c>
      <c r="F44" s="8">
        <f>IFERROR(T(VLOOKUP($A44,Players!$A:$E,5,FALSE)),"")</f>
        <v/>
      </c>
    </row>
    <row r="45">
      <c r="A45" s="5">
        <f t="array" ref="A45">IFERROR(INDEX(Auction!$A$5:$A$1000,SMALL(IF(Auction!$C$5:$C$1000=$A$1,ROW(Auction!$C$5:$C$1000)-ROW(Auction!$C$5)+1),ROWS($A$9:A45))),"")</f>
        <v/>
      </c>
      <c r="B45" s="6">
        <f t="array" ref="B45">IFERROR(INDEX(Auction!$B$5:$B$1000,SMALL(IF(Auction!$C$5:$C$1000=$A$1,ROW(Auction!$C$5:$C$1000)-ROW(Auction!$C$5)+1),ROWS($A$9:A45))),"")</f>
        <v/>
      </c>
      <c r="C45" s="7">
        <f>IFERROR(T(VLOOKUP($A45,Players!$A:$E,2,FALSE)),"")</f>
        <v/>
      </c>
      <c r="D45" s="7">
        <f>IFERROR(T(VLOOKUP($A45,Players!$A:$E,3,FALSE)),"")</f>
        <v/>
      </c>
      <c r="E45" s="5">
        <f>IFERROR(T(VLOOKUP($A45,Players!$A:$E,4,FALSE)),"")</f>
        <v/>
      </c>
      <c r="F45" s="5">
        <f>IFERROR(T(VLOOKUP($A45,Players!$A:$E,5,FALSE)),"")</f>
        <v/>
      </c>
    </row>
    <row r="46">
      <c r="A46" s="8">
        <f t="array" ref="A46">IFERROR(INDEX(Auction!$A$5:$A$1000,SMALL(IF(Auction!$C$5:$C$1000=$A$1,ROW(Auction!$C$5:$C$1000)-ROW(Auction!$C$5)+1),ROWS($A$9:A46))),"")</f>
        <v/>
      </c>
      <c r="B46" s="9">
        <f t="array" ref="B46">IFERROR(INDEX(Auction!$B$5:$B$1000,SMALL(IF(Auction!$C$5:$C$1000=$A$1,ROW(Auction!$C$5:$C$1000)-ROW(Auction!$C$5)+1),ROWS($A$9:A46))),"")</f>
        <v/>
      </c>
      <c r="C46" s="10">
        <f>IFERROR(T(VLOOKUP($A46,Players!$A:$E,2,FALSE)),"")</f>
        <v/>
      </c>
      <c r="D46" s="10">
        <f>IFERROR(T(VLOOKUP($A46,Players!$A:$E,3,FALSE)),"")</f>
        <v/>
      </c>
      <c r="E46" s="8">
        <f>IFERROR(T(VLOOKUP($A46,Players!$A:$E,4,FALSE)),"")</f>
        <v/>
      </c>
      <c r="F46" s="8">
        <f>IFERROR(T(VLOOKUP($A46,Players!$A:$E,5,FALSE)),"")</f>
        <v/>
      </c>
    </row>
    <row r="47">
      <c r="A47" s="5">
        <f t="array" ref="A47">IFERROR(INDEX(Auction!$A$5:$A$1000,SMALL(IF(Auction!$C$5:$C$1000=$A$1,ROW(Auction!$C$5:$C$1000)-ROW(Auction!$C$5)+1),ROWS($A$9:A47))),"")</f>
        <v/>
      </c>
      <c r="B47" s="6">
        <f t="array" ref="B47">IFERROR(INDEX(Auction!$B$5:$B$1000,SMALL(IF(Auction!$C$5:$C$1000=$A$1,ROW(Auction!$C$5:$C$1000)-ROW(Auction!$C$5)+1),ROWS($A$9:A47))),"")</f>
        <v/>
      </c>
      <c r="C47" s="7">
        <f>IFERROR(T(VLOOKUP($A47,Players!$A:$E,2,FALSE)),"")</f>
        <v/>
      </c>
      <c r="D47" s="7">
        <f>IFERROR(T(VLOOKUP($A47,Players!$A:$E,3,FALSE)),"")</f>
        <v/>
      </c>
      <c r="E47" s="5">
        <f>IFERROR(T(VLOOKUP($A47,Players!$A:$E,4,FALSE)),"")</f>
        <v/>
      </c>
      <c r="F47" s="5">
        <f>IFERROR(T(VLOOKUP($A47,Players!$A:$E,5,FALSE)),"")</f>
        <v/>
      </c>
    </row>
    <row r="48">
      <c r="A48" s="8">
        <f t="array" ref="A48">IFERROR(INDEX(Auction!$A$5:$A$1000,SMALL(IF(Auction!$C$5:$C$1000=$A$1,ROW(Auction!$C$5:$C$1000)-ROW(Auction!$C$5)+1),ROWS($A$9:A48))),"")</f>
        <v/>
      </c>
      <c r="B48" s="9">
        <f t="array" ref="B48">IFERROR(INDEX(Auction!$B$5:$B$1000,SMALL(IF(Auction!$C$5:$C$1000=$A$1,ROW(Auction!$C$5:$C$1000)-ROW(Auction!$C$5)+1),ROWS($A$9:A48))),"")</f>
        <v/>
      </c>
      <c r="C48" s="10">
        <f>IFERROR(T(VLOOKUP($A48,Players!$A:$E,2,FALSE)),"")</f>
        <v/>
      </c>
      <c r="D48" s="10">
        <f>IFERROR(T(VLOOKUP($A48,Players!$A:$E,3,FALSE)),"")</f>
        <v/>
      </c>
      <c r="E48" s="8">
        <f>IFERROR(T(VLOOKUP($A48,Players!$A:$E,4,FALSE)),"")</f>
        <v/>
      </c>
      <c r="F48" s="8">
        <f>IFERROR(T(VLOOKUP($A48,Players!$A:$E,5,FALSE)),"")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E8C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8" customWidth="1" min="4" max="4"/>
    <col width="14" customWidth="1" min="5" max="5"/>
    <col width="15" customWidth="1" min="6" max="6"/>
  </cols>
  <sheetData>
    <row r="1" ht="28" customHeight="1">
      <c r="A1" s="22">
        <f>Balance!A5</f>
        <v/>
      </c>
    </row>
    <row r="3">
      <c r="A3" s="23" t="inlineStr">
        <is>
          <t>Purse (Cr)</t>
        </is>
      </c>
      <c r="B3" s="24">
        <f>Balance!B5</f>
        <v/>
      </c>
    </row>
    <row r="4">
      <c r="A4" s="23" t="inlineStr">
        <is>
          <t>Spent (Cr)</t>
        </is>
      </c>
      <c r="B4" s="24">
        <f>Balance!C5</f>
        <v/>
      </c>
    </row>
    <row r="5">
      <c r="A5" s="25" t="inlineStr">
        <is>
          <t>Balance (Cr)</t>
        </is>
      </c>
      <c r="B5" s="26">
        <f>Balance!D5</f>
        <v/>
      </c>
    </row>
    <row r="6">
      <c r="A6" s="27" t="inlineStr">
        <is>
          <t>Players</t>
        </is>
      </c>
      <c r="B6" s="28">
        <f>Balance!E5</f>
        <v/>
      </c>
    </row>
    <row r="8">
      <c r="A8" s="3" t="inlineStr">
        <is>
          <t>Player</t>
        </is>
      </c>
      <c r="B8" s="3" t="inlineStr">
        <is>
          <t>Price (Cr)</t>
        </is>
      </c>
      <c r="C8" s="3" t="inlineStr">
        <is>
          <t>Role</t>
        </is>
      </c>
      <c r="D8" s="3" t="inlineStr">
        <is>
          <t>Hand</t>
        </is>
      </c>
      <c r="E8" s="3" t="inlineStr">
        <is>
          <t>Country</t>
        </is>
      </c>
      <c r="F8" s="3" t="inlineStr">
        <is>
          <t>City</t>
        </is>
      </c>
    </row>
    <row r="9">
      <c r="A9" s="5">
        <f t="array" ref="A9">IFERROR(INDEX(Auction!$A$5:$A$1000,SMALL(IF(Auction!$C$5:$C$1000=$A$1,ROW(Auction!$C$5:$C$1000)-ROW(Auction!$C$5)+1),ROWS($A$9:A9))),"")</f>
        <v/>
      </c>
      <c r="B9" s="6">
        <f t="array" ref="B9">IFERROR(INDEX(Auction!$B$5:$B$1000,SMALL(IF(Auction!$C$5:$C$1000=$A$1,ROW(Auction!$C$5:$C$1000)-ROW(Auction!$C$5)+1),ROWS($A$9:A9))),"")</f>
        <v/>
      </c>
      <c r="C9" s="7">
        <f>IFERROR(T(VLOOKUP($A9,Players!$A:$E,2,FALSE)),"")</f>
        <v/>
      </c>
      <c r="D9" s="7">
        <f>IFERROR(T(VLOOKUP($A9,Players!$A:$E,3,FALSE)),"")</f>
        <v/>
      </c>
      <c r="E9" s="5">
        <f>IFERROR(T(VLOOKUP($A9,Players!$A:$E,4,FALSE)),"")</f>
        <v/>
      </c>
      <c r="F9" s="5">
        <f>IFERROR(T(VLOOKUP($A9,Players!$A:$E,5,FALSE)),"")</f>
        <v/>
      </c>
    </row>
    <row r="10">
      <c r="A10" s="8">
        <f t="array" ref="A10">IFERROR(INDEX(Auction!$A$5:$A$1000,SMALL(IF(Auction!$C$5:$C$1000=$A$1,ROW(Auction!$C$5:$C$1000)-ROW(Auction!$C$5)+1),ROWS($A$9:A10))),"")</f>
        <v/>
      </c>
      <c r="B10" s="9">
        <f t="array" ref="B10">IFERROR(INDEX(Auction!$B$5:$B$1000,SMALL(IF(Auction!$C$5:$C$1000=$A$1,ROW(Auction!$C$5:$C$1000)-ROW(Auction!$C$5)+1),ROWS($A$9:A10))),"")</f>
        <v/>
      </c>
      <c r="C10" s="10">
        <f>IFERROR(T(VLOOKUP($A10,Players!$A:$E,2,FALSE)),"")</f>
        <v/>
      </c>
      <c r="D10" s="10">
        <f>IFERROR(T(VLOOKUP($A10,Players!$A:$E,3,FALSE)),"")</f>
        <v/>
      </c>
      <c r="E10" s="8">
        <f>IFERROR(T(VLOOKUP($A10,Players!$A:$E,4,FALSE)),"")</f>
        <v/>
      </c>
      <c r="F10" s="8">
        <f>IFERROR(T(VLOOKUP($A10,Players!$A:$E,5,FALSE)),"")</f>
        <v/>
      </c>
    </row>
    <row r="11">
      <c r="A11" s="5">
        <f t="array" ref="A11">IFERROR(INDEX(Auction!$A$5:$A$1000,SMALL(IF(Auction!$C$5:$C$1000=$A$1,ROW(Auction!$C$5:$C$1000)-ROW(Auction!$C$5)+1),ROWS($A$9:A11))),"")</f>
        <v/>
      </c>
      <c r="B11" s="6">
        <f t="array" ref="B11">IFERROR(INDEX(Auction!$B$5:$B$1000,SMALL(IF(Auction!$C$5:$C$1000=$A$1,ROW(Auction!$C$5:$C$1000)-ROW(Auction!$C$5)+1),ROWS($A$9:A11))),"")</f>
        <v/>
      </c>
      <c r="C11" s="7">
        <f>IFERROR(T(VLOOKUP($A11,Players!$A:$E,2,FALSE)),"")</f>
        <v/>
      </c>
      <c r="D11" s="7">
        <f>IFERROR(T(VLOOKUP($A11,Players!$A:$E,3,FALSE)),"")</f>
        <v/>
      </c>
      <c r="E11" s="5">
        <f>IFERROR(T(VLOOKUP($A11,Players!$A:$E,4,FALSE)),"")</f>
        <v/>
      </c>
      <c r="F11" s="5">
        <f>IFERROR(T(VLOOKUP($A11,Players!$A:$E,5,FALSE)),"")</f>
        <v/>
      </c>
    </row>
    <row r="12">
      <c r="A12" s="8">
        <f t="array" ref="A12">IFERROR(INDEX(Auction!$A$5:$A$1000,SMALL(IF(Auction!$C$5:$C$1000=$A$1,ROW(Auction!$C$5:$C$1000)-ROW(Auction!$C$5)+1),ROWS($A$9:A12))),"")</f>
        <v/>
      </c>
      <c r="B12" s="9">
        <f t="array" ref="B12">IFERROR(INDEX(Auction!$B$5:$B$1000,SMALL(IF(Auction!$C$5:$C$1000=$A$1,ROW(Auction!$C$5:$C$1000)-ROW(Auction!$C$5)+1),ROWS($A$9:A12))),"")</f>
        <v/>
      </c>
      <c r="C12" s="10">
        <f>IFERROR(T(VLOOKUP($A12,Players!$A:$E,2,FALSE)),"")</f>
        <v/>
      </c>
      <c r="D12" s="10">
        <f>IFERROR(T(VLOOKUP($A12,Players!$A:$E,3,FALSE)),"")</f>
        <v/>
      </c>
      <c r="E12" s="8">
        <f>IFERROR(T(VLOOKUP($A12,Players!$A:$E,4,FALSE)),"")</f>
        <v/>
      </c>
      <c r="F12" s="8">
        <f>IFERROR(T(VLOOKUP($A12,Players!$A:$E,5,FALSE)),"")</f>
        <v/>
      </c>
    </row>
    <row r="13">
      <c r="A13" s="5">
        <f t="array" ref="A13">IFERROR(INDEX(Auction!$A$5:$A$1000,SMALL(IF(Auction!$C$5:$C$1000=$A$1,ROW(Auction!$C$5:$C$1000)-ROW(Auction!$C$5)+1),ROWS($A$9:A13))),"")</f>
        <v/>
      </c>
      <c r="B13" s="6">
        <f t="array" ref="B13">IFERROR(INDEX(Auction!$B$5:$B$1000,SMALL(IF(Auction!$C$5:$C$1000=$A$1,ROW(Auction!$C$5:$C$1000)-ROW(Auction!$C$5)+1),ROWS($A$9:A13))),"")</f>
        <v/>
      </c>
      <c r="C13" s="7">
        <f>IFERROR(T(VLOOKUP($A13,Players!$A:$E,2,FALSE)),"")</f>
        <v/>
      </c>
      <c r="D13" s="7">
        <f>IFERROR(T(VLOOKUP($A13,Players!$A:$E,3,FALSE)),"")</f>
        <v/>
      </c>
      <c r="E13" s="5">
        <f>IFERROR(T(VLOOKUP($A13,Players!$A:$E,4,FALSE)),"")</f>
        <v/>
      </c>
      <c r="F13" s="5">
        <f>IFERROR(T(VLOOKUP($A13,Players!$A:$E,5,FALSE)),"")</f>
        <v/>
      </c>
    </row>
    <row r="14">
      <c r="A14" s="8">
        <f t="array" ref="A14">IFERROR(INDEX(Auction!$A$5:$A$1000,SMALL(IF(Auction!$C$5:$C$1000=$A$1,ROW(Auction!$C$5:$C$1000)-ROW(Auction!$C$5)+1),ROWS($A$9:A14))),"")</f>
        <v/>
      </c>
      <c r="B14" s="9">
        <f t="array" ref="B14">IFERROR(INDEX(Auction!$B$5:$B$1000,SMALL(IF(Auction!$C$5:$C$1000=$A$1,ROW(Auction!$C$5:$C$1000)-ROW(Auction!$C$5)+1),ROWS($A$9:A14))),"")</f>
        <v/>
      </c>
      <c r="C14" s="10">
        <f>IFERROR(T(VLOOKUP($A14,Players!$A:$E,2,FALSE)),"")</f>
        <v/>
      </c>
      <c r="D14" s="10">
        <f>IFERROR(T(VLOOKUP($A14,Players!$A:$E,3,FALSE)),"")</f>
        <v/>
      </c>
      <c r="E14" s="8">
        <f>IFERROR(T(VLOOKUP($A14,Players!$A:$E,4,FALSE)),"")</f>
        <v/>
      </c>
      <c r="F14" s="8">
        <f>IFERROR(T(VLOOKUP($A14,Players!$A:$E,5,FALSE)),"")</f>
        <v/>
      </c>
    </row>
    <row r="15">
      <c r="A15" s="5">
        <f t="array" ref="A15">IFERROR(INDEX(Auction!$A$5:$A$1000,SMALL(IF(Auction!$C$5:$C$1000=$A$1,ROW(Auction!$C$5:$C$1000)-ROW(Auction!$C$5)+1),ROWS($A$9:A15))),"")</f>
        <v/>
      </c>
      <c r="B15" s="6">
        <f t="array" ref="B15">IFERROR(INDEX(Auction!$B$5:$B$1000,SMALL(IF(Auction!$C$5:$C$1000=$A$1,ROW(Auction!$C$5:$C$1000)-ROW(Auction!$C$5)+1),ROWS($A$9:A15))),"")</f>
        <v/>
      </c>
      <c r="C15" s="7">
        <f>IFERROR(T(VLOOKUP($A15,Players!$A:$E,2,FALSE)),"")</f>
        <v/>
      </c>
      <c r="D15" s="7">
        <f>IFERROR(T(VLOOKUP($A15,Players!$A:$E,3,FALSE)),"")</f>
        <v/>
      </c>
      <c r="E15" s="5">
        <f>IFERROR(T(VLOOKUP($A15,Players!$A:$E,4,FALSE)),"")</f>
        <v/>
      </c>
      <c r="F15" s="5">
        <f>IFERROR(T(VLOOKUP($A15,Players!$A:$E,5,FALSE)),"")</f>
        <v/>
      </c>
    </row>
    <row r="16">
      <c r="A16" s="8">
        <f t="array" ref="A16">IFERROR(INDEX(Auction!$A$5:$A$1000,SMALL(IF(Auction!$C$5:$C$1000=$A$1,ROW(Auction!$C$5:$C$1000)-ROW(Auction!$C$5)+1),ROWS($A$9:A16))),"")</f>
        <v/>
      </c>
      <c r="B16" s="9">
        <f t="array" ref="B16">IFERROR(INDEX(Auction!$B$5:$B$1000,SMALL(IF(Auction!$C$5:$C$1000=$A$1,ROW(Auction!$C$5:$C$1000)-ROW(Auction!$C$5)+1),ROWS($A$9:A16))),"")</f>
        <v/>
      </c>
      <c r="C16" s="10">
        <f>IFERROR(T(VLOOKUP($A16,Players!$A:$E,2,FALSE)),"")</f>
        <v/>
      </c>
      <c r="D16" s="10">
        <f>IFERROR(T(VLOOKUP($A16,Players!$A:$E,3,FALSE)),"")</f>
        <v/>
      </c>
      <c r="E16" s="8">
        <f>IFERROR(T(VLOOKUP($A16,Players!$A:$E,4,FALSE)),"")</f>
        <v/>
      </c>
      <c r="F16" s="8">
        <f>IFERROR(T(VLOOKUP($A16,Players!$A:$E,5,FALSE)),"")</f>
        <v/>
      </c>
    </row>
    <row r="17">
      <c r="A17" s="5">
        <f t="array" ref="A17">IFERROR(INDEX(Auction!$A$5:$A$1000,SMALL(IF(Auction!$C$5:$C$1000=$A$1,ROW(Auction!$C$5:$C$1000)-ROW(Auction!$C$5)+1),ROWS($A$9:A17))),"")</f>
        <v/>
      </c>
      <c r="B17" s="6">
        <f t="array" ref="B17">IFERROR(INDEX(Auction!$B$5:$B$1000,SMALL(IF(Auction!$C$5:$C$1000=$A$1,ROW(Auction!$C$5:$C$1000)-ROW(Auction!$C$5)+1),ROWS($A$9:A17))),"")</f>
        <v/>
      </c>
      <c r="C17" s="7">
        <f>IFERROR(T(VLOOKUP($A17,Players!$A:$E,2,FALSE)),"")</f>
        <v/>
      </c>
      <c r="D17" s="7">
        <f>IFERROR(T(VLOOKUP($A17,Players!$A:$E,3,FALSE)),"")</f>
        <v/>
      </c>
      <c r="E17" s="5">
        <f>IFERROR(T(VLOOKUP($A17,Players!$A:$E,4,FALSE)),"")</f>
        <v/>
      </c>
      <c r="F17" s="5">
        <f>IFERROR(T(VLOOKUP($A17,Players!$A:$E,5,FALSE)),"")</f>
        <v/>
      </c>
    </row>
    <row r="18">
      <c r="A18" s="8">
        <f t="array" ref="A18">IFERROR(INDEX(Auction!$A$5:$A$1000,SMALL(IF(Auction!$C$5:$C$1000=$A$1,ROW(Auction!$C$5:$C$1000)-ROW(Auction!$C$5)+1),ROWS($A$9:A18))),"")</f>
        <v/>
      </c>
      <c r="B18" s="9">
        <f t="array" ref="B18">IFERROR(INDEX(Auction!$B$5:$B$1000,SMALL(IF(Auction!$C$5:$C$1000=$A$1,ROW(Auction!$C$5:$C$1000)-ROW(Auction!$C$5)+1),ROWS($A$9:A18))),"")</f>
        <v/>
      </c>
      <c r="C18" s="10">
        <f>IFERROR(T(VLOOKUP($A18,Players!$A:$E,2,FALSE)),"")</f>
        <v/>
      </c>
      <c r="D18" s="10">
        <f>IFERROR(T(VLOOKUP($A18,Players!$A:$E,3,FALSE)),"")</f>
        <v/>
      </c>
      <c r="E18" s="8">
        <f>IFERROR(T(VLOOKUP($A18,Players!$A:$E,4,FALSE)),"")</f>
        <v/>
      </c>
      <c r="F18" s="8">
        <f>IFERROR(T(VLOOKUP($A18,Players!$A:$E,5,FALSE)),"")</f>
        <v/>
      </c>
    </row>
    <row r="19">
      <c r="A19" s="5">
        <f t="array" ref="A19">IFERROR(INDEX(Auction!$A$5:$A$1000,SMALL(IF(Auction!$C$5:$C$1000=$A$1,ROW(Auction!$C$5:$C$1000)-ROW(Auction!$C$5)+1),ROWS($A$9:A19))),"")</f>
        <v/>
      </c>
      <c r="B19" s="6">
        <f t="array" ref="B19">IFERROR(INDEX(Auction!$B$5:$B$1000,SMALL(IF(Auction!$C$5:$C$1000=$A$1,ROW(Auction!$C$5:$C$1000)-ROW(Auction!$C$5)+1),ROWS($A$9:A19))),"")</f>
        <v/>
      </c>
      <c r="C19" s="7">
        <f>IFERROR(T(VLOOKUP($A19,Players!$A:$E,2,FALSE)),"")</f>
        <v/>
      </c>
      <c r="D19" s="7">
        <f>IFERROR(T(VLOOKUP($A19,Players!$A:$E,3,FALSE)),"")</f>
        <v/>
      </c>
      <c r="E19" s="5">
        <f>IFERROR(T(VLOOKUP($A19,Players!$A:$E,4,FALSE)),"")</f>
        <v/>
      </c>
      <c r="F19" s="5">
        <f>IFERROR(T(VLOOKUP($A19,Players!$A:$E,5,FALSE)),"")</f>
        <v/>
      </c>
    </row>
    <row r="20">
      <c r="A20" s="8">
        <f t="array" ref="A20">IFERROR(INDEX(Auction!$A$5:$A$1000,SMALL(IF(Auction!$C$5:$C$1000=$A$1,ROW(Auction!$C$5:$C$1000)-ROW(Auction!$C$5)+1),ROWS($A$9:A20))),"")</f>
        <v/>
      </c>
      <c r="B20" s="9">
        <f t="array" ref="B20">IFERROR(INDEX(Auction!$B$5:$B$1000,SMALL(IF(Auction!$C$5:$C$1000=$A$1,ROW(Auction!$C$5:$C$1000)-ROW(Auction!$C$5)+1),ROWS($A$9:A20))),"")</f>
        <v/>
      </c>
      <c r="C20" s="10">
        <f>IFERROR(T(VLOOKUP($A20,Players!$A:$E,2,FALSE)),"")</f>
        <v/>
      </c>
      <c r="D20" s="10">
        <f>IFERROR(T(VLOOKUP($A20,Players!$A:$E,3,FALSE)),"")</f>
        <v/>
      </c>
      <c r="E20" s="8">
        <f>IFERROR(T(VLOOKUP($A20,Players!$A:$E,4,FALSE)),"")</f>
        <v/>
      </c>
      <c r="F20" s="8">
        <f>IFERROR(T(VLOOKUP($A20,Players!$A:$E,5,FALSE)),"")</f>
        <v/>
      </c>
    </row>
    <row r="21">
      <c r="A21" s="5">
        <f t="array" ref="A21">IFERROR(INDEX(Auction!$A$5:$A$1000,SMALL(IF(Auction!$C$5:$C$1000=$A$1,ROW(Auction!$C$5:$C$1000)-ROW(Auction!$C$5)+1),ROWS($A$9:A21))),"")</f>
        <v/>
      </c>
      <c r="B21" s="6">
        <f t="array" ref="B21">IFERROR(INDEX(Auction!$B$5:$B$1000,SMALL(IF(Auction!$C$5:$C$1000=$A$1,ROW(Auction!$C$5:$C$1000)-ROW(Auction!$C$5)+1),ROWS($A$9:A21))),"")</f>
        <v/>
      </c>
      <c r="C21" s="7">
        <f>IFERROR(T(VLOOKUP($A21,Players!$A:$E,2,FALSE)),"")</f>
        <v/>
      </c>
      <c r="D21" s="7">
        <f>IFERROR(T(VLOOKUP($A21,Players!$A:$E,3,FALSE)),"")</f>
        <v/>
      </c>
      <c r="E21" s="5">
        <f>IFERROR(T(VLOOKUP($A21,Players!$A:$E,4,FALSE)),"")</f>
        <v/>
      </c>
      <c r="F21" s="5">
        <f>IFERROR(T(VLOOKUP($A21,Players!$A:$E,5,FALSE)),"")</f>
        <v/>
      </c>
    </row>
    <row r="22">
      <c r="A22" s="8">
        <f t="array" ref="A22">IFERROR(INDEX(Auction!$A$5:$A$1000,SMALL(IF(Auction!$C$5:$C$1000=$A$1,ROW(Auction!$C$5:$C$1000)-ROW(Auction!$C$5)+1),ROWS($A$9:A22))),"")</f>
        <v/>
      </c>
      <c r="B22" s="9">
        <f t="array" ref="B22">IFERROR(INDEX(Auction!$B$5:$B$1000,SMALL(IF(Auction!$C$5:$C$1000=$A$1,ROW(Auction!$C$5:$C$1000)-ROW(Auction!$C$5)+1),ROWS($A$9:A22))),"")</f>
        <v/>
      </c>
      <c r="C22" s="10">
        <f>IFERROR(T(VLOOKUP($A22,Players!$A:$E,2,FALSE)),"")</f>
        <v/>
      </c>
      <c r="D22" s="10">
        <f>IFERROR(T(VLOOKUP($A22,Players!$A:$E,3,FALSE)),"")</f>
        <v/>
      </c>
      <c r="E22" s="8">
        <f>IFERROR(T(VLOOKUP($A22,Players!$A:$E,4,FALSE)),"")</f>
        <v/>
      </c>
      <c r="F22" s="8">
        <f>IFERROR(T(VLOOKUP($A22,Players!$A:$E,5,FALSE)),"")</f>
        <v/>
      </c>
    </row>
    <row r="23">
      <c r="A23" s="5">
        <f t="array" ref="A23">IFERROR(INDEX(Auction!$A$5:$A$1000,SMALL(IF(Auction!$C$5:$C$1000=$A$1,ROW(Auction!$C$5:$C$1000)-ROW(Auction!$C$5)+1),ROWS($A$9:A23))),"")</f>
        <v/>
      </c>
      <c r="B23" s="6">
        <f t="array" ref="B23">IFERROR(INDEX(Auction!$B$5:$B$1000,SMALL(IF(Auction!$C$5:$C$1000=$A$1,ROW(Auction!$C$5:$C$1000)-ROW(Auction!$C$5)+1),ROWS($A$9:A23))),"")</f>
        <v/>
      </c>
      <c r="C23" s="7">
        <f>IFERROR(T(VLOOKUP($A23,Players!$A:$E,2,FALSE)),"")</f>
        <v/>
      </c>
      <c r="D23" s="7">
        <f>IFERROR(T(VLOOKUP($A23,Players!$A:$E,3,FALSE)),"")</f>
        <v/>
      </c>
      <c r="E23" s="5">
        <f>IFERROR(T(VLOOKUP($A23,Players!$A:$E,4,FALSE)),"")</f>
        <v/>
      </c>
      <c r="F23" s="5">
        <f>IFERROR(T(VLOOKUP($A23,Players!$A:$E,5,FALSE)),"")</f>
        <v/>
      </c>
    </row>
    <row r="24">
      <c r="A24" s="8">
        <f t="array" ref="A24">IFERROR(INDEX(Auction!$A$5:$A$1000,SMALL(IF(Auction!$C$5:$C$1000=$A$1,ROW(Auction!$C$5:$C$1000)-ROW(Auction!$C$5)+1),ROWS($A$9:A24))),"")</f>
        <v/>
      </c>
      <c r="B24" s="9">
        <f t="array" ref="B24">IFERROR(INDEX(Auction!$B$5:$B$1000,SMALL(IF(Auction!$C$5:$C$1000=$A$1,ROW(Auction!$C$5:$C$1000)-ROW(Auction!$C$5)+1),ROWS($A$9:A24))),"")</f>
        <v/>
      </c>
      <c r="C24" s="10">
        <f>IFERROR(T(VLOOKUP($A24,Players!$A:$E,2,FALSE)),"")</f>
        <v/>
      </c>
      <c r="D24" s="10">
        <f>IFERROR(T(VLOOKUP($A24,Players!$A:$E,3,FALSE)),"")</f>
        <v/>
      </c>
      <c r="E24" s="8">
        <f>IFERROR(T(VLOOKUP($A24,Players!$A:$E,4,FALSE)),"")</f>
        <v/>
      </c>
      <c r="F24" s="8">
        <f>IFERROR(T(VLOOKUP($A24,Players!$A:$E,5,FALSE)),"")</f>
        <v/>
      </c>
    </row>
    <row r="25">
      <c r="A25" s="5">
        <f t="array" ref="A25">IFERROR(INDEX(Auction!$A$5:$A$1000,SMALL(IF(Auction!$C$5:$C$1000=$A$1,ROW(Auction!$C$5:$C$1000)-ROW(Auction!$C$5)+1),ROWS($A$9:A25))),"")</f>
        <v/>
      </c>
      <c r="B25" s="6">
        <f t="array" ref="B25">IFERROR(INDEX(Auction!$B$5:$B$1000,SMALL(IF(Auction!$C$5:$C$1000=$A$1,ROW(Auction!$C$5:$C$1000)-ROW(Auction!$C$5)+1),ROWS($A$9:A25))),"")</f>
        <v/>
      </c>
      <c r="C25" s="7">
        <f>IFERROR(T(VLOOKUP($A25,Players!$A:$E,2,FALSE)),"")</f>
        <v/>
      </c>
      <c r="D25" s="7">
        <f>IFERROR(T(VLOOKUP($A25,Players!$A:$E,3,FALSE)),"")</f>
        <v/>
      </c>
      <c r="E25" s="5">
        <f>IFERROR(T(VLOOKUP($A25,Players!$A:$E,4,FALSE)),"")</f>
        <v/>
      </c>
      <c r="F25" s="5">
        <f>IFERROR(T(VLOOKUP($A25,Players!$A:$E,5,FALSE)),"")</f>
        <v/>
      </c>
    </row>
    <row r="26">
      <c r="A26" s="8">
        <f t="array" ref="A26">IFERROR(INDEX(Auction!$A$5:$A$1000,SMALL(IF(Auction!$C$5:$C$1000=$A$1,ROW(Auction!$C$5:$C$1000)-ROW(Auction!$C$5)+1),ROWS($A$9:A26))),"")</f>
        <v/>
      </c>
      <c r="B26" s="9">
        <f t="array" ref="B26">IFERROR(INDEX(Auction!$B$5:$B$1000,SMALL(IF(Auction!$C$5:$C$1000=$A$1,ROW(Auction!$C$5:$C$1000)-ROW(Auction!$C$5)+1),ROWS($A$9:A26))),"")</f>
        <v/>
      </c>
      <c r="C26" s="10">
        <f>IFERROR(T(VLOOKUP($A26,Players!$A:$E,2,FALSE)),"")</f>
        <v/>
      </c>
      <c r="D26" s="10">
        <f>IFERROR(T(VLOOKUP($A26,Players!$A:$E,3,FALSE)),"")</f>
        <v/>
      </c>
      <c r="E26" s="8">
        <f>IFERROR(T(VLOOKUP($A26,Players!$A:$E,4,FALSE)),"")</f>
        <v/>
      </c>
      <c r="F26" s="8">
        <f>IFERROR(T(VLOOKUP($A26,Players!$A:$E,5,FALSE)),"")</f>
        <v/>
      </c>
    </row>
    <row r="27">
      <c r="A27" s="5">
        <f t="array" ref="A27">IFERROR(INDEX(Auction!$A$5:$A$1000,SMALL(IF(Auction!$C$5:$C$1000=$A$1,ROW(Auction!$C$5:$C$1000)-ROW(Auction!$C$5)+1),ROWS($A$9:A27))),"")</f>
        <v/>
      </c>
      <c r="B27" s="6">
        <f t="array" ref="B27">IFERROR(INDEX(Auction!$B$5:$B$1000,SMALL(IF(Auction!$C$5:$C$1000=$A$1,ROW(Auction!$C$5:$C$1000)-ROW(Auction!$C$5)+1),ROWS($A$9:A27))),"")</f>
        <v/>
      </c>
      <c r="C27" s="7">
        <f>IFERROR(T(VLOOKUP($A27,Players!$A:$E,2,FALSE)),"")</f>
        <v/>
      </c>
      <c r="D27" s="7">
        <f>IFERROR(T(VLOOKUP($A27,Players!$A:$E,3,FALSE)),"")</f>
        <v/>
      </c>
      <c r="E27" s="5">
        <f>IFERROR(T(VLOOKUP($A27,Players!$A:$E,4,FALSE)),"")</f>
        <v/>
      </c>
      <c r="F27" s="5">
        <f>IFERROR(T(VLOOKUP($A27,Players!$A:$E,5,FALSE)),"")</f>
        <v/>
      </c>
    </row>
    <row r="28">
      <c r="A28" s="8">
        <f t="array" ref="A28">IFERROR(INDEX(Auction!$A$5:$A$1000,SMALL(IF(Auction!$C$5:$C$1000=$A$1,ROW(Auction!$C$5:$C$1000)-ROW(Auction!$C$5)+1),ROWS($A$9:A28))),"")</f>
        <v/>
      </c>
      <c r="B28" s="9">
        <f t="array" ref="B28">IFERROR(INDEX(Auction!$B$5:$B$1000,SMALL(IF(Auction!$C$5:$C$1000=$A$1,ROW(Auction!$C$5:$C$1000)-ROW(Auction!$C$5)+1),ROWS($A$9:A28))),"")</f>
        <v/>
      </c>
      <c r="C28" s="10">
        <f>IFERROR(T(VLOOKUP($A28,Players!$A:$E,2,FALSE)),"")</f>
        <v/>
      </c>
      <c r="D28" s="10">
        <f>IFERROR(T(VLOOKUP($A28,Players!$A:$E,3,FALSE)),"")</f>
        <v/>
      </c>
      <c r="E28" s="8">
        <f>IFERROR(T(VLOOKUP($A28,Players!$A:$E,4,FALSE)),"")</f>
        <v/>
      </c>
      <c r="F28" s="8">
        <f>IFERROR(T(VLOOKUP($A28,Players!$A:$E,5,FALSE)),"")</f>
        <v/>
      </c>
    </row>
    <row r="29">
      <c r="A29" s="5">
        <f t="array" ref="A29">IFERROR(INDEX(Auction!$A$5:$A$1000,SMALL(IF(Auction!$C$5:$C$1000=$A$1,ROW(Auction!$C$5:$C$1000)-ROW(Auction!$C$5)+1),ROWS($A$9:A29))),"")</f>
        <v/>
      </c>
      <c r="B29" s="6">
        <f t="array" ref="B29">IFERROR(INDEX(Auction!$B$5:$B$1000,SMALL(IF(Auction!$C$5:$C$1000=$A$1,ROW(Auction!$C$5:$C$1000)-ROW(Auction!$C$5)+1),ROWS($A$9:A29))),"")</f>
        <v/>
      </c>
      <c r="C29" s="7">
        <f>IFERROR(T(VLOOKUP($A29,Players!$A:$E,2,FALSE)),"")</f>
        <v/>
      </c>
      <c r="D29" s="7">
        <f>IFERROR(T(VLOOKUP($A29,Players!$A:$E,3,FALSE)),"")</f>
        <v/>
      </c>
      <c r="E29" s="5">
        <f>IFERROR(T(VLOOKUP($A29,Players!$A:$E,4,FALSE)),"")</f>
        <v/>
      </c>
      <c r="F29" s="5">
        <f>IFERROR(T(VLOOKUP($A29,Players!$A:$E,5,FALSE)),"")</f>
        <v/>
      </c>
    </row>
    <row r="30">
      <c r="A30" s="8">
        <f t="array" ref="A30">IFERROR(INDEX(Auction!$A$5:$A$1000,SMALL(IF(Auction!$C$5:$C$1000=$A$1,ROW(Auction!$C$5:$C$1000)-ROW(Auction!$C$5)+1),ROWS($A$9:A30))),"")</f>
        <v/>
      </c>
      <c r="B30" s="9">
        <f t="array" ref="B30">IFERROR(INDEX(Auction!$B$5:$B$1000,SMALL(IF(Auction!$C$5:$C$1000=$A$1,ROW(Auction!$C$5:$C$1000)-ROW(Auction!$C$5)+1),ROWS($A$9:A30))),"")</f>
        <v/>
      </c>
      <c r="C30" s="10">
        <f>IFERROR(T(VLOOKUP($A30,Players!$A:$E,2,FALSE)),"")</f>
        <v/>
      </c>
      <c r="D30" s="10">
        <f>IFERROR(T(VLOOKUP($A30,Players!$A:$E,3,FALSE)),"")</f>
        <v/>
      </c>
      <c r="E30" s="8">
        <f>IFERROR(T(VLOOKUP($A30,Players!$A:$E,4,FALSE)),"")</f>
        <v/>
      </c>
      <c r="F30" s="8">
        <f>IFERROR(T(VLOOKUP($A30,Players!$A:$E,5,FALSE)),"")</f>
        <v/>
      </c>
    </row>
    <row r="31">
      <c r="A31" s="5">
        <f t="array" ref="A31">IFERROR(INDEX(Auction!$A$5:$A$1000,SMALL(IF(Auction!$C$5:$C$1000=$A$1,ROW(Auction!$C$5:$C$1000)-ROW(Auction!$C$5)+1),ROWS($A$9:A31))),"")</f>
        <v/>
      </c>
      <c r="B31" s="6">
        <f t="array" ref="B31">IFERROR(INDEX(Auction!$B$5:$B$1000,SMALL(IF(Auction!$C$5:$C$1000=$A$1,ROW(Auction!$C$5:$C$1000)-ROW(Auction!$C$5)+1),ROWS($A$9:A31))),"")</f>
        <v/>
      </c>
      <c r="C31" s="7">
        <f>IFERROR(T(VLOOKUP($A31,Players!$A:$E,2,FALSE)),"")</f>
        <v/>
      </c>
      <c r="D31" s="7">
        <f>IFERROR(T(VLOOKUP($A31,Players!$A:$E,3,FALSE)),"")</f>
        <v/>
      </c>
      <c r="E31" s="5">
        <f>IFERROR(T(VLOOKUP($A31,Players!$A:$E,4,FALSE)),"")</f>
        <v/>
      </c>
      <c r="F31" s="5">
        <f>IFERROR(T(VLOOKUP($A31,Players!$A:$E,5,FALSE)),"")</f>
        <v/>
      </c>
    </row>
    <row r="32">
      <c r="A32" s="8">
        <f t="array" ref="A32">IFERROR(INDEX(Auction!$A$5:$A$1000,SMALL(IF(Auction!$C$5:$C$1000=$A$1,ROW(Auction!$C$5:$C$1000)-ROW(Auction!$C$5)+1),ROWS($A$9:A32))),"")</f>
        <v/>
      </c>
      <c r="B32" s="9">
        <f t="array" ref="B32">IFERROR(INDEX(Auction!$B$5:$B$1000,SMALL(IF(Auction!$C$5:$C$1000=$A$1,ROW(Auction!$C$5:$C$1000)-ROW(Auction!$C$5)+1),ROWS($A$9:A32))),"")</f>
        <v/>
      </c>
      <c r="C32" s="10">
        <f>IFERROR(T(VLOOKUP($A32,Players!$A:$E,2,FALSE)),"")</f>
        <v/>
      </c>
      <c r="D32" s="10">
        <f>IFERROR(T(VLOOKUP($A32,Players!$A:$E,3,FALSE)),"")</f>
        <v/>
      </c>
      <c r="E32" s="8">
        <f>IFERROR(T(VLOOKUP($A32,Players!$A:$E,4,FALSE)),"")</f>
        <v/>
      </c>
      <c r="F32" s="8">
        <f>IFERROR(T(VLOOKUP($A32,Players!$A:$E,5,FALSE)),"")</f>
        <v/>
      </c>
    </row>
    <row r="33">
      <c r="A33" s="5">
        <f t="array" ref="A33">IFERROR(INDEX(Auction!$A$5:$A$1000,SMALL(IF(Auction!$C$5:$C$1000=$A$1,ROW(Auction!$C$5:$C$1000)-ROW(Auction!$C$5)+1),ROWS($A$9:A33))),"")</f>
        <v/>
      </c>
      <c r="B33" s="6">
        <f t="array" ref="B33">IFERROR(INDEX(Auction!$B$5:$B$1000,SMALL(IF(Auction!$C$5:$C$1000=$A$1,ROW(Auction!$C$5:$C$1000)-ROW(Auction!$C$5)+1),ROWS($A$9:A33))),"")</f>
        <v/>
      </c>
      <c r="C33" s="7">
        <f>IFERROR(T(VLOOKUP($A33,Players!$A:$E,2,FALSE)),"")</f>
        <v/>
      </c>
      <c r="D33" s="7">
        <f>IFERROR(T(VLOOKUP($A33,Players!$A:$E,3,FALSE)),"")</f>
        <v/>
      </c>
      <c r="E33" s="5">
        <f>IFERROR(T(VLOOKUP($A33,Players!$A:$E,4,FALSE)),"")</f>
        <v/>
      </c>
      <c r="F33" s="5">
        <f>IFERROR(T(VLOOKUP($A33,Players!$A:$E,5,FALSE)),"")</f>
        <v/>
      </c>
    </row>
    <row r="34">
      <c r="A34" s="8">
        <f t="array" ref="A34">IFERROR(INDEX(Auction!$A$5:$A$1000,SMALL(IF(Auction!$C$5:$C$1000=$A$1,ROW(Auction!$C$5:$C$1000)-ROW(Auction!$C$5)+1),ROWS($A$9:A34))),"")</f>
        <v/>
      </c>
      <c r="B34" s="9">
        <f t="array" ref="B34">IFERROR(INDEX(Auction!$B$5:$B$1000,SMALL(IF(Auction!$C$5:$C$1000=$A$1,ROW(Auction!$C$5:$C$1000)-ROW(Auction!$C$5)+1),ROWS($A$9:A34))),"")</f>
        <v/>
      </c>
      <c r="C34" s="10">
        <f>IFERROR(T(VLOOKUP($A34,Players!$A:$E,2,FALSE)),"")</f>
        <v/>
      </c>
      <c r="D34" s="10">
        <f>IFERROR(T(VLOOKUP($A34,Players!$A:$E,3,FALSE)),"")</f>
        <v/>
      </c>
      <c r="E34" s="8">
        <f>IFERROR(T(VLOOKUP($A34,Players!$A:$E,4,FALSE)),"")</f>
        <v/>
      </c>
      <c r="F34" s="8">
        <f>IFERROR(T(VLOOKUP($A34,Players!$A:$E,5,FALSE)),"")</f>
        <v/>
      </c>
    </row>
    <row r="35">
      <c r="A35" s="5">
        <f t="array" ref="A35">IFERROR(INDEX(Auction!$A$5:$A$1000,SMALL(IF(Auction!$C$5:$C$1000=$A$1,ROW(Auction!$C$5:$C$1000)-ROW(Auction!$C$5)+1),ROWS($A$9:A35))),"")</f>
        <v/>
      </c>
      <c r="B35" s="6">
        <f t="array" ref="B35">IFERROR(INDEX(Auction!$B$5:$B$1000,SMALL(IF(Auction!$C$5:$C$1000=$A$1,ROW(Auction!$C$5:$C$1000)-ROW(Auction!$C$5)+1),ROWS($A$9:A35))),"")</f>
        <v/>
      </c>
      <c r="C35" s="7">
        <f>IFERROR(T(VLOOKUP($A35,Players!$A:$E,2,FALSE)),"")</f>
        <v/>
      </c>
      <c r="D35" s="7">
        <f>IFERROR(T(VLOOKUP($A35,Players!$A:$E,3,FALSE)),"")</f>
        <v/>
      </c>
      <c r="E35" s="5">
        <f>IFERROR(T(VLOOKUP($A35,Players!$A:$E,4,FALSE)),"")</f>
        <v/>
      </c>
      <c r="F35" s="5">
        <f>IFERROR(T(VLOOKUP($A35,Players!$A:$E,5,FALSE)),"")</f>
        <v/>
      </c>
    </row>
    <row r="36">
      <c r="A36" s="8">
        <f t="array" ref="A36">IFERROR(INDEX(Auction!$A$5:$A$1000,SMALL(IF(Auction!$C$5:$C$1000=$A$1,ROW(Auction!$C$5:$C$1000)-ROW(Auction!$C$5)+1),ROWS($A$9:A36))),"")</f>
        <v/>
      </c>
      <c r="B36" s="9">
        <f t="array" ref="B36">IFERROR(INDEX(Auction!$B$5:$B$1000,SMALL(IF(Auction!$C$5:$C$1000=$A$1,ROW(Auction!$C$5:$C$1000)-ROW(Auction!$C$5)+1),ROWS($A$9:A36))),"")</f>
        <v/>
      </c>
      <c r="C36" s="10">
        <f>IFERROR(T(VLOOKUP($A36,Players!$A:$E,2,FALSE)),"")</f>
        <v/>
      </c>
      <c r="D36" s="10">
        <f>IFERROR(T(VLOOKUP($A36,Players!$A:$E,3,FALSE)),"")</f>
        <v/>
      </c>
      <c r="E36" s="8">
        <f>IFERROR(T(VLOOKUP($A36,Players!$A:$E,4,FALSE)),"")</f>
        <v/>
      </c>
      <c r="F36" s="8">
        <f>IFERROR(T(VLOOKUP($A36,Players!$A:$E,5,FALSE)),"")</f>
        <v/>
      </c>
    </row>
    <row r="37">
      <c r="A37" s="5">
        <f t="array" ref="A37">IFERROR(INDEX(Auction!$A$5:$A$1000,SMALL(IF(Auction!$C$5:$C$1000=$A$1,ROW(Auction!$C$5:$C$1000)-ROW(Auction!$C$5)+1),ROWS($A$9:A37))),"")</f>
        <v/>
      </c>
      <c r="B37" s="6">
        <f t="array" ref="B37">IFERROR(INDEX(Auction!$B$5:$B$1000,SMALL(IF(Auction!$C$5:$C$1000=$A$1,ROW(Auction!$C$5:$C$1000)-ROW(Auction!$C$5)+1),ROWS($A$9:A37))),"")</f>
        <v/>
      </c>
      <c r="C37" s="7">
        <f>IFERROR(T(VLOOKUP($A37,Players!$A:$E,2,FALSE)),"")</f>
        <v/>
      </c>
      <c r="D37" s="7">
        <f>IFERROR(T(VLOOKUP($A37,Players!$A:$E,3,FALSE)),"")</f>
        <v/>
      </c>
      <c r="E37" s="5">
        <f>IFERROR(T(VLOOKUP($A37,Players!$A:$E,4,FALSE)),"")</f>
        <v/>
      </c>
      <c r="F37" s="5">
        <f>IFERROR(T(VLOOKUP($A37,Players!$A:$E,5,FALSE)),"")</f>
        <v/>
      </c>
    </row>
    <row r="38">
      <c r="A38" s="8">
        <f t="array" ref="A38">IFERROR(INDEX(Auction!$A$5:$A$1000,SMALL(IF(Auction!$C$5:$C$1000=$A$1,ROW(Auction!$C$5:$C$1000)-ROW(Auction!$C$5)+1),ROWS($A$9:A38))),"")</f>
        <v/>
      </c>
      <c r="B38" s="9">
        <f t="array" ref="B38">IFERROR(INDEX(Auction!$B$5:$B$1000,SMALL(IF(Auction!$C$5:$C$1000=$A$1,ROW(Auction!$C$5:$C$1000)-ROW(Auction!$C$5)+1),ROWS($A$9:A38))),"")</f>
        <v/>
      </c>
      <c r="C38" s="10">
        <f>IFERROR(T(VLOOKUP($A38,Players!$A:$E,2,FALSE)),"")</f>
        <v/>
      </c>
      <c r="D38" s="10">
        <f>IFERROR(T(VLOOKUP($A38,Players!$A:$E,3,FALSE)),"")</f>
        <v/>
      </c>
      <c r="E38" s="8">
        <f>IFERROR(T(VLOOKUP($A38,Players!$A:$E,4,FALSE)),"")</f>
        <v/>
      </c>
      <c r="F38" s="8">
        <f>IFERROR(T(VLOOKUP($A38,Players!$A:$E,5,FALSE)),"")</f>
        <v/>
      </c>
    </row>
    <row r="39">
      <c r="A39" s="5">
        <f t="array" ref="A39">IFERROR(INDEX(Auction!$A$5:$A$1000,SMALL(IF(Auction!$C$5:$C$1000=$A$1,ROW(Auction!$C$5:$C$1000)-ROW(Auction!$C$5)+1),ROWS($A$9:A39))),"")</f>
        <v/>
      </c>
      <c r="B39" s="6">
        <f t="array" ref="B39">IFERROR(INDEX(Auction!$B$5:$B$1000,SMALL(IF(Auction!$C$5:$C$1000=$A$1,ROW(Auction!$C$5:$C$1000)-ROW(Auction!$C$5)+1),ROWS($A$9:A39))),"")</f>
        <v/>
      </c>
      <c r="C39" s="7">
        <f>IFERROR(T(VLOOKUP($A39,Players!$A:$E,2,FALSE)),"")</f>
        <v/>
      </c>
      <c r="D39" s="7">
        <f>IFERROR(T(VLOOKUP($A39,Players!$A:$E,3,FALSE)),"")</f>
        <v/>
      </c>
      <c r="E39" s="5">
        <f>IFERROR(T(VLOOKUP($A39,Players!$A:$E,4,FALSE)),"")</f>
        <v/>
      </c>
      <c r="F39" s="5">
        <f>IFERROR(T(VLOOKUP($A39,Players!$A:$E,5,FALSE)),"")</f>
        <v/>
      </c>
    </row>
    <row r="40">
      <c r="A40" s="8">
        <f t="array" ref="A40">IFERROR(INDEX(Auction!$A$5:$A$1000,SMALL(IF(Auction!$C$5:$C$1000=$A$1,ROW(Auction!$C$5:$C$1000)-ROW(Auction!$C$5)+1),ROWS($A$9:A40))),"")</f>
        <v/>
      </c>
      <c r="B40" s="9">
        <f t="array" ref="B40">IFERROR(INDEX(Auction!$B$5:$B$1000,SMALL(IF(Auction!$C$5:$C$1000=$A$1,ROW(Auction!$C$5:$C$1000)-ROW(Auction!$C$5)+1),ROWS($A$9:A40))),"")</f>
        <v/>
      </c>
      <c r="C40" s="10">
        <f>IFERROR(T(VLOOKUP($A40,Players!$A:$E,2,FALSE)),"")</f>
        <v/>
      </c>
      <c r="D40" s="10">
        <f>IFERROR(T(VLOOKUP($A40,Players!$A:$E,3,FALSE)),"")</f>
        <v/>
      </c>
      <c r="E40" s="8">
        <f>IFERROR(T(VLOOKUP($A40,Players!$A:$E,4,FALSE)),"")</f>
        <v/>
      </c>
      <c r="F40" s="8">
        <f>IFERROR(T(VLOOKUP($A40,Players!$A:$E,5,FALSE)),"")</f>
        <v/>
      </c>
    </row>
    <row r="41">
      <c r="A41" s="5">
        <f t="array" ref="A41">IFERROR(INDEX(Auction!$A$5:$A$1000,SMALL(IF(Auction!$C$5:$C$1000=$A$1,ROW(Auction!$C$5:$C$1000)-ROW(Auction!$C$5)+1),ROWS($A$9:A41))),"")</f>
        <v/>
      </c>
      <c r="B41" s="6">
        <f t="array" ref="B41">IFERROR(INDEX(Auction!$B$5:$B$1000,SMALL(IF(Auction!$C$5:$C$1000=$A$1,ROW(Auction!$C$5:$C$1000)-ROW(Auction!$C$5)+1),ROWS($A$9:A41))),"")</f>
        <v/>
      </c>
      <c r="C41" s="7">
        <f>IFERROR(T(VLOOKUP($A41,Players!$A:$E,2,FALSE)),"")</f>
        <v/>
      </c>
      <c r="D41" s="7">
        <f>IFERROR(T(VLOOKUP($A41,Players!$A:$E,3,FALSE)),"")</f>
        <v/>
      </c>
      <c r="E41" s="5">
        <f>IFERROR(T(VLOOKUP($A41,Players!$A:$E,4,FALSE)),"")</f>
        <v/>
      </c>
      <c r="F41" s="5">
        <f>IFERROR(T(VLOOKUP($A41,Players!$A:$E,5,FALSE)),"")</f>
        <v/>
      </c>
    </row>
    <row r="42">
      <c r="A42" s="8">
        <f t="array" ref="A42">IFERROR(INDEX(Auction!$A$5:$A$1000,SMALL(IF(Auction!$C$5:$C$1000=$A$1,ROW(Auction!$C$5:$C$1000)-ROW(Auction!$C$5)+1),ROWS($A$9:A42))),"")</f>
        <v/>
      </c>
      <c r="B42" s="9">
        <f t="array" ref="B42">IFERROR(INDEX(Auction!$B$5:$B$1000,SMALL(IF(Auction!$C$5:$C$1000=$A$1,ROW(Auction!$C$5:$C$1000)-ROW(Auction!$C$5)+1),ROWS($A$9:A42))),"")</f>
        <v/>
      </c>
      <c r="C42" s="10">
        <f>IFERROR(T(VLOOKUP($A42,Players!$A:$E,2,FALSE)),"")</f>
        <v/>
      </c>
      <c r="D42" s="10">
        <f>IFERROR(T(VLOOKUP($A42,Players!$A:$E,3,FALSE)),"")</f>
        <v/>
      </c>
      <c r="E42" s="8">
        <f>IFERROR(T(VLOOKUP($A42,Players!$A:$E,4,FALSE)),"")</f>
        <v/>
      </c>
      <c r="F42" s="8">
        <f>IFERROR(T(VLOOKUP($A42,Players!$A:$E,5,FALSE)),"")</f>
        <v/>
      </c>
    </row>
    <row r="43">
      <c r="A43" s="5">
        <f t="array" ref="A43">IFERROR(INDEX(Auction!$A$5:$A$1000,SMALL(IF(Auction!$C$5:$C$1000=$A$1,ROW(Auction!$C$5:$C$1000)-ROW(Auction!$C$5)+1),ROWS($A$9:A43))),"")</f>
        <v/>
      </c>
      <c r="B43" s="6">
        <f t="array" ref="B43">IFERROR(INDEX(Auction!$B$5:$B$1000,SMALL(IF(Auction!$C$5:$C$1000=$A$1,ROW(Auction!$C$5:$C$1000)-ROW(Auction!$C$5)+1),ROWS($A$9:A43))),"")</f>
        <v/>
      </c>
      <c r="C43" s="7">
        <f>IFERROR(T(VLOOKUP($A43,Players!$A:$E,2,FALSE)),"")</f>
        <v/>
      </c>
      <c r="D43" s="7">
        <f>IFERROR(T(VLOOKUP($A43,Players!$A:$E,3,FALSE)),"")</f>
        <v/>
      </c>
      <c r="E43" s="5">
        <f>IFERROR(T(VLOOKUP($A43,Players!$A:$E,4,FALSE)),"")</f>
        <v/>
      </c>
      <c r="F43" s="5">
        <f>IFERROR(T(VLOOKUP($A43,Players!$A:$E,5,FALSE)),"")</f>
        <v/>
      </c>
    </row>
    <row r="44">
      <c r="A44" s="8">
        <f t="array" ref="A44">IFERROR(INDEX(Auction!$A$5:$A$1000,SMALL(IF(Auction!$C$5:$C$1000=$A$1,ROW(Auction!$C$5:$C$1000)-ROW(Auction!$C$5)+1),ROWS($A$9:A44))),"")</f>
        <v/>
      </c>
      <c r="B44" s="9">
        <f t="array" ref="B44">IFERROR(INDEX(Auction!$B$5:$B$1000,SMALL(IF(Auction!$C$5:$C$1000=$A$1,ROW(Auction!$C$5:$C$1000)-ROW(Auction!$C$5)+1),ROWS($A$9:A44))),"")</f>
        <v/>
      </c>
      <c r="C44" s="10">
        <f>IFERROR(T(VLOOKUP($A44,Players!$A:$E,2,FALSE)),"")</f>
        <v/>
      </c>
      <c r="D44" s="10">
        <f>IFERROR(T(VLOOKUP($A44,Players!$A:$E,3,FALSE)),"")</f>
        <v/>
      </c>
      <c r="E44" s="8">
        <f>IFERROR(T(VLOOKUP($A44,Players!$A:$E,4,FALSE)),"")</f>
        <v/>
      </c>
      <c r="F44" s="8">
        <f>IFERROR(T(VLOOKUP($A44,Players!$A:$E,5,FALSE)),"")</f>
        <v/>
      </c>
    </row>
    <row r="45">
      <c r="A45" s="5">
        <f t="array" ref="A45">IFERROR(INDEX(Auction!$A$5:$A$1000,SMALL(IF(Auction!$C$5:$C$1000=$A$1,ROW(Auction!$C$5:$C$1000)-ROW(Auction!$C$5)+1),ROWS($A$9:A45))),"")</f>
        <v/>
      </c>
      <c r="B45" s="6">
        <f t="array" ref="B45">IFERROR(INDEX(Auction!$B$5:$B$1000,SMALL(IF(Auction!$C$5:$C$1000=$A$1,ROW(Auction!$C$5:$C$1000)-ROW(Auction!$C$5)+1),ROWS($A$9:A45))),"")</f>
        <v/>
      </c>
      <c r="C45" s="7">
        <f>IFERROR(T(VLOOKUP($A45,Players!$A:$E,2,FALSE)),"")</f>
        <v/>
      </c>
      <c r="D45" s="7">
        <f>IFERROR(T(VLOOKUP($A45,Players!$A:$E,3,FALSE)),"")</f>
        <v/>
      </c>
      <c r="E45" s="5">
        <f>IFERROR(T(VLOOKUP($A45,Players!$A:$E,4,FALSE)),"")</f>
        <v/>
      </c>
      <c r="F45" s="5">
        <f>IFERROR(T(VLOOKUP($A45,Players!$A:$E,5,FALSE)),"")</f>
        <v/>
      </c>
    </row>
    <row r="46">
      <c r="A46" s="8">
        <f t="array" ref="A46">IFERROR(INDEX(Auction!$A$5:$A$1000,SMALL(IF(Auction!$C$5:$C$1000=$A$1,ROW(Auction!$C$5:$C$1000)-ROW(Auction!$C$5)+1),ROWS($A$9:A46))),"")</f>
        <v/>
      </c>
      <c r="B46" s="9">
        <f t="array" ref="B46">IFERROR(INDEX(Auction!$B$5:$B$1000,SMALL(IF(Auction!$C$5:$C$1000=$A$1,ROW(Auction!$C$5:$C$1000)-ROW(Auction!$C$5)+1),ROWS($A$9:A46))),"")</f>
        <v/>
      </c>
      <c r="C46" s="10">
        <f>IFERROR(T(VLOOKUP($A46,Players!$A:$E,2,FALSE)),"")</f>
        <v/>
      </c>
      <c r="D46" s="10">
        <f>IFERROR(T(VLOOKUP($A46,Players!$A:$E,3,FALSE)),"")</f>
        <v/>
      </c>
      <c r="E46" s="8">
        <f>IFERROR(T(VLOOKUP($A46,Players!$A:$E,4,FALSE)),"")</f>
        <v/>
      </c>
      <c r="F46" s="8">
        <f>IFERROR(T(VLOOKUP($A46,Players!$A:$E,5,FALSE)),"")</f>
        <v/>
      </c>
    </row>
    <row r="47">
      <c r="A47" s="5">
        <f t="array" ref="A47">IFERROR(INDEX(Auction!$A$5:$A$1000,SMALL(IF(Auction!$C$5:$C$1000=$A$1,ROW(Auction!$C$5:$C$1000)-ROW(Auction!$C$5)+1),ROWS($A$9:A47))),"")</f>
        <v/>
      </c>
      <c r="B47" s="6">
        <f t="array" ref="B47">IFERROR(INDEX(Auction!$B$5:$B$1000,SMALL(IF(Auction!$C$5:$C$1000=$A$1,ROW(Auction!$C$5:$C$1000)-ROW(Auction!$C$5)+1),ROWS($A$9:A47))),"")</f>
        <v/>
      </c>
      <c r="C47" s="7">
        <f>IFERROR(T(VLOOKUP($A47,Players!$A:$E,2,FALSE)),"")</f>
        <v/>
      </c>
      <c r="D47" s="7">
        <f>IFERROR(T(VLOOKUP($A47,Players!$A:$E,3,FALSE)),"")</f>
        <v/>
      </c>
      <c r="E47" s="5">
        <f>IFERROR(T(VLOOKUP($A47,Players!$A:$E,4,FALSE)),"")</f>
        <v/>
      </c>
      <c r="F47" s="5">
        <f>IFERROR(T(VLOOKUP($A47,Players!$A:$E,5,FALSE)),"")</f>
        <v/>
      </c>
    </row>
    <row r="48">
      <c r="A48" s="8">
        <f t="array" ref="A48">IFERROR(INDEX(Auction!$A$5:$A$1000,SMALL(IF(Auction!$C$5:$C$1000=$A$1,ROW(Auction!$C$5:$C$1000)-ROW(Auction!$C$5)+1),ROWS($A$9:A48))),"")</f>
        <v/>
      </c>
      <c r="B48" s="9">
        <f t="array" ref="B48">IFERROR(INDEX(Auction!$B$5:$B$1000,SMALL(IF(Auction!$C$5:$C$1000=$A$1,ROW(Auction!$C$5:$C$1000)-ROW(Auction!$C$5)+1),ROWS($A$9:A48))),"")</f>
        <v/>
      </c>
      <c r="C48" s="10">
        <f>IFERROR(T(VLOOKUP($A48,Players!$A:$E,2,FALSE)),"")</f>
        <v/>
      </c>
      <c r="D48" s="10">
        <f>IFERROR(T(VLOOKUP($A48,Players!$A:$E,3,FALSE)),"")</f>
        <v/>
      </c>
      <c r="E48" s="8">
        <f>IFERROR(T(VLOOKUP($A48,Players!$A:$E,4,FALSE)),"")</f>
        <v/>
      </c>
      <c r="F48" s="8">
        <f>IFERROR(T(VLOOKUP($A48,Players!$A:$E,5,FALSE)),"")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5E8C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8" customWidth="1" min="4" max="4"/>
    <col width="14" customWidth="1" min="5" max="5"/>
    <col width="15" customWidth="1" min="6" max="6"/>
  </cols>
  <sheetData>
    <row r="1" ht="28" customHeight="1">
      <c r="A1" s="22">
        <f>Balance!A6</f>
        <v/>
      </c>
    </row>
    <row r="3">
      <c r="A3" s="23" t="inlineStr">
        <is>
          <t>Purse (Cr)</t>
        </is>
      </c>
      <c r="B3" s="24">
        <f>Balance!B6</f>
        <v/>
      </c>
    </row>
    <row r="4">
      <c r="A4" s="23" t="inlineStr">
        <is>
          <t>Spent (Cr)</t>
        </is>
      </c>
      <c r="B4" s="24">
        <f>Balance!C6</f>
        <v/>
      </c>
    </row>
    <row r="5">
      <c r="A5" s="25" t="inlineStr">
        <is>
          <t>Balance (Cr)</t>
        </is>
      </c>
      <c r="B5" s="26">
        <f>Balance!D6</f>
        <v/>
      </c>
    </row>
    <row r="6">
      <c r="A6" s="27" t="inlineStr">
        <is>
          <t>Players</t>
        </is>
      </c>
      <c r="B6" s="28">
        <f>Balance!E6</f>
        <v/>
      </c>
    </row>
    <row r="8">
      <c r="A8" s="3" t="inlineStr">
        <is>
          <t>Player</t>
        </is>
      </c>
      <c r="B8" s="3" t="inlineStr">
        <is>
          <t>Price (Cr)</t>
        </is>
      </c>
      <c r="C8" s="3" t="inlineStr">
        <is>
          <t>Role</t>
        </is>
      </c>
      <c r="D8" s="3" t="inlineStr">
        <is>
          <t>Hand</t>
        </is>
      </c>
      <c r="E8" s="3" t="inlineStr">
        <is>
          <t>Country</t>
        </is>
      </c>
      <c r="F8" s="3" t="inlineStr">
        <is>
          <t>City</t>
        </is>
      </c>
    </row>
    <row r="9">
      <c r="A9" s="5">
        <f t="array" ref="A9">IFERROR(INDEX(Auction!$A$5:$A$1000,SMALL(IF(Auction!$C$5:$C$1000=$A$1,ROW(Auction!$C$5:$C$1000)-ROW(Auction!$C$5)+1),ROWS($A$9:A9))),"")</f>
        <v/>
      </c>
      <c r="B9" s="6">
        <f t="array" ref="B9">IFERROR(INDEX(Auction!$B$5:$B$1000,SMALL(IF(Auction!$C$5:$C$1000=$A$1,ROW(Auction!$C$5:$C$1000)-ROW(Auction!$C$5)+1),ROWS($A$9:A9))),"")</f>
        <v/>
      </c>
      <c r="C9" s="7">
        <f>IFERROR(T(VLOOKUP($A9,Players!$A:$E,2,FALSE)),"")</f>
        <v/>
      </c>
      <c r="D9" s="7">
        <f>IFERROR(T(VLOOKUP($A9,Players!$A:$E,3,FALSE)),"")</f>
        <v/>
      </c>
      <c r="E9" s="5">
        <f>IFERROR(T(VLOOKUP($A9,Players!$A:$E,4,FALSE)),"")</f>
        <v/>
      </c>
      <c r="F9" s="5">
        <f>IFERROR(T(VLOOKUP($A9,Players!$A:$E,5,FALSE)),"")</f>
        <v/>
      </c>
    </row>
    <row r="10">
      <c r="A10" s="8">
        <f t="array" ref="A10">IFERROR(INDEX(Auction!$A$5:$A$1000,SMALL(IF(Auction!$C$5:$C$1000=$A$1,ROW(Auction!$C$5:$C$1000)-ROW(Auction!$C$5)+1),ROWS($A$9:A10))),"")</f>
        <v/>
      </c>
      <c r="B10" s="9">
        <f t="array" ref="B10">IFERROR(INDEX(Auction!$B$5:$B$1000,SMALL(IF(Auction!$C$5:$C$1000=$A$1,ROW(Auction!$C$5:$C$1000)-ROW(Auction!$C$5)+1),ROWS($A$9:A10))),"")</f>
        <v/>
      </c>
      <c r="C10" s="10">
        <f>IFERROR(T(VLOOKUP($A10,Players!$A:$E,2,FALSE)),"")</f>
        <v/>
      </c>
      <c r="D10" s="10">
        <f>IFERROR(T(VLOOKUP($A10,Players!$A:$E,3,FALSE)),"")</f>
        <v/>
      </c>
      <c r="E10" s="8">
        <f>IFERROR(T(VLOOKUP($A10,Players!$A:$E,4,FALSE)),"")</f>
        <v/>
      </c>
      <c r="F10" s="8">
        <f>IFERROR(T(VLOOKUP($A10,Players!$A:$E,5,FALSE)),"")</f>
        <v/>
      </c>
    </row>
    <row r="11">
      <c r="A11" s="5">
        <f t="array" ref="A11">IFERROR(INDEX(Auction!$A$5:$A$1000,SMALL(IF(Auction!$C$5:$C$1000=$A$1,ROW(Auction!$C$5:$C$1000)-ROW(Auction!$C$5)+1),ROWS($A$9:A11))),"")</f>
        <v/>
      </c>
      <c r="B11" s="6">
        <f t="array" ref="B11">IFERROR(INDEX(Auction!$B$5:$B$1000,SMALL(IF(Auction!$C$5:$C$1000=$A$1,ROW(Auction!$C$5:$C$1000)-ROW(Auction!$C$5)+1),ROWS($A$9:A11))),"")</f>
        <v/>
      </c>
      <c r="C11" s="7">
        <f>IFERROR(T(VLOOKUP($A11,Players!$A:$E,2,FALSE)),"")</f>
        <v/>
      </c>
      <c r="D11" s="7">
        <f>IFERROR(T(VLOOKUP($A11,Players!$A:$E,3,FALSE)),"")</f>
        <v/>
      </c>
      <c r="E11" s="5">
        <f>IFERROR(T(VLOOKUP($A11,Players!$A:$E,4,FALSE)),"")</f>
        <v/>
      </c>
      <c r="F11" s="5">
        <f>IFERROR(T(VLOOKUP($A11,Players!$A:$E,5,FALSE)),"")</f>
        <v/>
      </c>
    </row>
    <row r="12">
      <c r="A12" s="8">
        <f t="array" ref="A12">IFERROR(INDEX(Auction!$A$5:$A$1000,SMALL(IF(Auction!$C$5:$C$1000=$A$1,ROW(Auction!$C$5:$C$1000)-ROW(Auction!$C$5)+1),ROWS($A$9:A12))),"")</f>
        <v/>
      </c>
      <c r="B12" s="9">
        <f t="array" ref="B12">IFERROR(INDEX(Auction!$B$5:$B$1000,SMALL(IF(Auction!$C$5:$C$1000=$A$1,ROW(Auction!$C$5:$C$1000)-ROW(Auction!$C$5)+1),ROWS($A$9:A12))),"")</f>
        <v/>
      </c>
      <c r="C12" s="10">
        <f>IFERROR(T(VLOOKUP($A12,Players!$A:$E,2,FALSE)),"")</f>
        <v/>
      </c>
      <c r="D12" s="10">
        <f>IFERROR(T(VLOOKUP($A12,Players!$A:$E,3,FALSE)),"")</f>
        <v/>
      </c>
      <c r="E12" s="8">
        <f>IFERROR(T(VLOOKUP($A12,Players!$A:$E,4,FALSE)),"")</f>
        <v/>
      </c>
      <c r="F12" s="8">
        <f>IFERROR(T(VLOOKUP($A12,Players!$A:$E,5,FALSE)),"")</f>
        <v/>
      </c>
    </row>
    <row r="13">
      <c r="A13" s="5">
        <f t="array" ref="A13">IFERROR(INDEX(Auction!$A$5:$A$1000,SMALL(IF(Auction!$C$5:$C$1000=$A$1,ROW(Auction!$C$5:$C$1000)-ROW(Auction!$C$5)+1),ROWS($A$9:A13))),"")</f>
        <v/>
      </c>
      <c r="B13" s="6">
        <f t="array" ref="B13">IFERROR(INDEX(Auction!$B$5:$B$1000,SMALL(IF(Auction!$C$5:$C$1000=$A$1,ROW(Auction!$C$5:$C$1000)-ROW(Auction!$C$5)+1),ROWS($A$9:A13))),"")</f>
        <v/>
      </c>
      <c r="C13" s="7">
        <f>IFERROR(T(VLOOKUP($A13,Players!$A:$E,2,FALSE)),"")</f>
        <v/>
      </c>
      <c r="D13" s="7">
        <f>IFERROR(T(VLOOKUP($A13,Players!$A:$E,3,FALSE)),"")</f>
        <v/>
      </c>
      <c r="E13" s="5">
        <f>IFERROR(T(VLOOKUP($A13,Players!$A:$E,4,FALSE)),"")</f>
        <v/>
      </c>
      <c r="F13" s="5">
        <f>IFERROR(T(VLOOKUP($A13,Players!$A:$E,5,FALSE)),"")</f>
        <v/>
      </c>
    </row>
    <row r="14">
      <c r="A14" s="8">
        <f t="array" ref="A14">IFERROR(INDEX(Auction!$A$5:$A$1000,SMALL(IF(Auction!$C$5:$C$1000=$A$1,ROW(Auction!$C$5:$C$1000)-ROW(Auction!$C$5)+1),ROWS($A$9:A14))),"")</f>
        <v/>
      </c>
      <c r="B14" s="9">
        <f t="array" ref="B14">IFERROR(INDEX(Auction!$B$5:$B$1000,SMALL(IF(Auction!$C$5:$C$1000=$A$1,ROW(Auction!$C$5:$C$1000)-ROW(Auction!$C$5)+1),ROWS($A$9:A14))),"")</f>
        <v/>
      </c>
      <c r="C14" s="10">
        <f>IFERROR(T(VLOOKUP($A14,Players!$A:$E,2,FALSE)),"")</f>
        <v/>
      </c>
      <c r="D14" s="10">
        <f>IFERROR(T(VLOOKUP($A14,Players!$A:$E,3,FALSE)),"")</f>
        <v/>
      </c>
      <c r="E14" s="8">
        <f>IFERROR(T(VLOOKUP($A14,Players!$A:$E,4,FALSE)),"")</f>
        <v/>
      </c>
      <c r="F14" s="8">
        <f>IFERROR(T(VLOOKUP($A14,Players!$A:$E,5,FALSE)),"")</f>
        <v/>
      </c>
    </row>
    <row r="15">
      <c r="A15" s="5">
        <f t="array" ref="A15">IFERROR(INDEX(Auction!$A$5:$A$1000,SMALL(IF(Auction!$C$5:$C$1000=$A$1,ROW(Auction!$C$5:$C$1000)-ROW(Auction!$C$5)+1),ROWS($A$9:A15))),"")</f>
        <v/>
      </c>
      <c r="B15" s="6">
        <f t="array" ref="B15">IFERROR(INDEX(Auction!$B$5:$B$1000,SMALL(IF(Auction!$C$5:$C$1000=$A$1,ROW(Auction!$C$5:$C$1000)-ROW(Auction!$C$5)+1),ROWS($A$9:A15))),"")</f>
        <v/>
      </c>
      <c r="C15" s="7">
        <f>IFERROR(T(VLOOKUP($A15,Players!$A:$E,2,FALSE)),"")</f>
        <v/>
      </c>
      <c r="D15" s="7">
        <f>IFERROR(T(VLOOKUP($A15,Players!$A:$E,3,FALSE)),"")</f>
        <v/>
      </c>
      <c r="E15" s="5">
        <f>IFERROR(T(VLOOKUP($A15,Players!$A:$E,4,FALSE)),"")</f>
        <v/>
      </c>
      <c r="F15" s="5">
        <f>IFERROR(T(VLOOKUP($A15,Players!$A:$E,5,FALSE)),"")</f>
        <v/>
      </c>
    </row>
    <row r="16">
      <c r="A16" s="8">
        <f t="array" ref="A16">IFERROR(INDEX(Auction!$A$5:$A$1000,SMALL(IF(Auction!$C$5:$C$1000=$A$1,ROW(Auction!$C$5:$C$1000)-ROW(Auction!$C$5)+1),ROWS($A$9:A16))),"")</f>
        <v/>
      </c>
      <c r="B16" s="9">
        <f t="array" ref="B16">IFERROR(INDEX(Auction!$B$5:$B$1000,SMALL(IF(Auction!$C$5:$C$1000=$A$1,ROW(Auction!$C$5:$C$1000)-ROW(Auction!$C$5)+1),ROWS($A$9:A16))),"")</f>
        <v/>
      </c>
      <c r="C16" s="10">
        <f>IFERROR(T(VLOOKUP($A16,Players!$A:$E,2,FALSE)),"")</f>
        <v/>
      </c>
      <c r="D16" s="10">
        <f>IFERROR(T(VLOOKUP($A16,Players!$A:$E,3,FALSE)),"")</f>
        <v/>
      </c>
      <c r="E16" s="8">
        <f>IFERROR(T(VLOOKUP($A16,Players!$A:$E,4,FALSE)),"")</f>
        <v/>
      </c>
      <c r="F16" s="8">
        <f>IFERROR(T(VLOOKUP($A16,Players!$A:$E,5,FALSE)),"")</f>
        <v/>
      </c>
    </row>
    <row r="17">
      <c r="A17" s="5">
        <f t="array" ref="A17">IFERROR(INDEX(Auction!$A$5:$A$1000,SMALL(IF(Auction!$C$5:$C$1000=$A$1,ROW(Auction!$C$5:$C$1000)-ROW(Auction!$C$5)+1),ROWS($A$9:A17))),"")</f>
        <v/>
      </c>
      <c r="B17" s="6">
        <f t="array" ref="B17">IFERROR(INDEX(Auction!$B$5:$B$1000,SMALL(IF(Auction!$C$5:$C$1000=$A$1,ROW(Auction!$C$5:$C$1000)-ROW(Auction!$C$5)+1),ROWS($A$9:A17))),"")</f>
        <v/>
      </c>
      <c r="C17" s="7">
        <f>IFERROR(T(VLOOKUP($A17,Players!$A:$E,2,FALSE)),"")</f>
        <v/>
      </c>
      <c r="D17" s="7">
        <f>IFERROR(T(VLOOKUP($A17,Players!$A:$E,3,FALSE)),"")</f>
        <v/>
      </c>
      <c r="E17" s="5">
        <f>IFERROR(T(VLOOKUP($A17,Players!$A:$E,4,FALSE)),"")</f>
        <v/>
      </c>
      <c r="F17" s="5">
        <f>IFERROR(T(VLOOKUP($A17,Players!$A:$E,5,FALSE)),"")</f>
        <v/>
      </c>
    </row>
    <row r="18">
      <c r="A18" s="8">
        <f t="array" ref="A18">IFERROR(INDEX(Auction!$A$5:$A$1000,SMALL(IF(Auction!$C$5:$C$1000=$A$1,ROW(Auction!$C$5:$C$1000)-ROW(Auction!$C$5)+1),ROWS($A$9:A18))),"")</f>
        <v/>
      </c>
      <c r="B18" s="9">
        <f t="array" ref="B18">IFERROR(INDEX(Auction!$B$5:$B$1000,SMALL(IF(Auction!$C$5:$C$1000=$A$1,ROW(Auction!$C$5:$C$1000)-ROW(Auction!$C$5)+1),ROWS($A$9:A18))),"")</f>
        <v/>
      </c>
      <c r="C18" s="10">
        <f>IFERROR(T(VLOOKUP($A18,Players!$A:$E,2,FALSE)),"")</f>
        <v/>
      </c>
      <c r="D18" s="10">
        <f>IFERROR(T(VLOOKUP($A18,Players!$A:$E,3,FALSE)),"")</f>
        <v/>
      </c>
      <c r="E18" s="8">
        <f>IFERROR(T(VLOOKUP($A18,Players!$A:$E,4,FALSE)),"")</f>
        <v/>
      </c>
      <c r="F18" s="8">
        <f>IFERROR(T(VLOOKUP($A18,Players!$A:$E,5,FALSE)),"")</f>
        <v/>
      </c>
    </row>
    <row r="19">
      <c r="A19" s="5">
        <f t="array" ref="A19">IFERROR(INDEX(Auction!$A$5:$A$1000,SMALL(IF(Auction!$C$5:$C$1000=$A$1,ROW(Auction!$C$5:$C$1000)-ROW(Auction!$C$5)+1),ROWS($A$9:A19))),"")</f>
        <v/>
      </c>
      <c r="B19" s="6">
        <f t="array" ref="B19">IFERROR(INDEX(Auction!$B$5:$B$1000,SMALL(IF(Auction!$C$5:$C$1000=$A$1,ROW(Auction!$C$5:$C$1000)-ROW(Auction!$C$5)+1),ROWS($A$9:A19))),"")</f>
        <v/>
      </c>
      <c r="C19" s="7">
        <f>IFERROR(T(VLOOKUP($A19,Players!$A:$E,2,FALSE)),"")</f>
        <v/>
      </c>
      <c r="D19" s="7">
        <f>IFERROR(T(VLOOKUP($A19,Players!$A:$E,3,FALSE)),"")</f>
        <v/>
      </c>
      <c r="E19" s="5">
        <f>IFERROR(T(VLOOKUP($A19,Players!$A:$E,4,FALSE)),"")</f>
        <v/>
      </c>
      <c r="F19" s="5">
        <f>IFERROR(T(VLOOKUP($A19,Players!$A:$E,5,FALSE)),"")</f>
        <v/>
      </c>
    </row>
    <row r="20">
      <c r="A20" s="8">
        <f t="array" ref="A20">IFERROR(INDEX(Auction!$A$5:$A$1000,SMALL(IF(Auction!$C$5:$C$1000=$A$1,ROW(Auction!$C$5:$C$1000)-ROW(Auction!$C$5)+1),ROWS($A$9:A20))),"")</f>
        <v/>
      </c>
      <c r="B20" s="9">
        <f t="array" ref="B20">IFERROR(INDEX(Auction!$B$5:$B$1000,SMALL(IF(Auction!$C$5:$C$1000=$A$1,ROW(Auction!$C$5:$C$1000)-ROW(Auction!$C$5)+1),ROWS($A$9:A20))),"")</f>
        <v/>
      </c>
      <c r="C20" s="10">
        <f>IFERROR(T(VLOOKUP($A20,Players!$A:$E,2,FALSE)),"")</f>
        <v/>
      </c>
      <c r="D20" s="10">
        <f>IFERROR(T(VLOOKUP($A20,Players!$A:$E,3,FALSE)),"")</f>
        <v/>
      </c>
      <c r="E20" s="8">
        <f>IFERROR(T(VLOOKUP($A20,Players!$A:$E,4,FALSE)),"")</f>
        <v/>
      </c>
      <c r="F20" s="8">
        <f>IFERROR(T(VLOOKUP($A20,Players!$A:$E,5,FALSE)),"")</f>
        <v/>
      </c>
    </row>
    <row r="21">
      <c r="A21" s="5">
        <f t="array" ref="A21">IFERROR(INDEX(Auction!$A$5:$A$1000,SMALL(IF(Auction!$C$5:$C$1000=$A$1,ROW(Auction!$C$5:$C$1000)-ROW(Auction!$C$5)+1),ROWS($A$9:A21))),"")</f>
        <v/>
      </c>
      <c r="B21" s="6">
        <f t="array" ref="B21">IFERROR(INDEX(Auction!$B$5:$B$1000,SMALL(IF(Auction!$C$5:$C$1000=$A$1,ROW(Auction!$C$5:$C$1000)-ROW(Auction!$C$5)+1),ROWS($A$9:A21))),"")</f>
        <v/>
      </c>
      <c r="C21" s="7">
        <f>IFERROR(T(VLOOKUP($A21,Players!$A:$E,2,FALSE)),"")</f>
        <v/>
      </c>
      <c r="D21" s="7">
        <f>IFERROR(T(VLOOKUP($A21,Players!$A:$E,3,FALSE)),"")</f>
        <v/>
      </c>
      <c r="E21" s="5">
        <f>IFERROR(T(VLOOKUP($A21,Players!$A:$E,4,FALSE)),"")</f>
        <v/>
      </c>
      <c r="F21" s="5">
        <f>IFERROR(T(VLOOKUP($A21,Players!$A:$E,5,FALSE)),"")</f>
        <v/>
      </c>
    </row>
    <row r="22">
      <c r="A22" s="8">
        <f t="array" ref="A22">IFERROR(INDEX(Auction!$A$5:$A$1000,SMALL(IF(Auction!$C$5:$C$1000=$A$1,ROW(Auction!$C$5:$C$1000)-ROW(Auction!$C$5)+1),ROWS($A$9:A22))),"")</f>
        <v/>
      </c>
      <c r="B22" s="9">
        <f t="array" ref="B22">IFERROR(INDEX(Auction!$B$5:$B$1000,SMALL(IF(Auction!$C$5:$C$1000=$A$1,ROW(Auction!$C$5:$C$1000)-ROW(Auction!$C$5)+1),ROWS($A$9:A22))),"")</f>
        <v/>
      </c>
      <c r="C22" s="10">
        <f>IFERROR(T(VLOOKUP($A22,Players!$A:$E,2,FALSE)),"")</f>
        <v/>
      </c>
      <c r="D22" s="10">
        <f>IFERROR(T(VLOOKUP($A22,Players!$A:$E,3,FALSE)),"")</f>
        <v/>
      </c>
      <c r="E22" s="8">
        <f>IFERROR(T(VLOOKUP($A22,Players!$A:$E,4,FALSE)),"")</f>
        <v/>
      </c>
      <c r="F22" s="8">
        <f>IFERROR(T(VLOOKUP($A22,Players!$A:$E,5,FALSE)),"")</f>
        <v/>
      </c>
    </row>
    <row r="23">
      <c r="A23" s="5">
        <f t="array" ref="A23">IFERROR(INDEX(Auction!$A$5:$A$1000,SMALL(IF(Auction!$C$5:$C$1000=$A$1,ROW(Auction!$C$5:$C$1000)-ROW(Auction!$C$5)+1),ROWS($A$9:A23))),"")</f>
        <v/>
      </c>
      <c r="B23" s="6">
        <f t="array" ref="B23">IFERROR(INDEX(Auction!$B$5:$B$1000,SMALL(IF(Auction!$C$5:$C$1000=$A$1,ROW(Auction!$C$5:$C$1000)-ROW(Auction!$C$5)+1),ROWS($A$9:A23))),"")</f>
        <v/>
      </c>
      <c r="C23" s="7">
        <f>IFERROR(T(VLOOKUP($A23,Players!$A:$E,2,FALSE)),"")</f>
        <v/>
      </c>
      <c r="D23" s="7">
        <f>IFERROR(T(VLOOKUP($A23,Players!$A:$E,3,FALSE)),"")</f>
        <v/>
      </c>
      <c r="E23" s="5">
        <f>IFERROR(T(VLOOKUP($A23,Players!$A:$E,4,FALSE)),"")</f>
        <v/>
      </c>
      <c r="F23" s="5">
        <f>IFERROR(T(VLOOKUP($A23,Players!$A:$E,5,FALSE)),"")</f>
        <v/>
      </c>
    </row>
    <row r="24">
      <c r="A24" s="8">
        <f t="array" ref="A24">IFERROR(INDEX(Auction!$A$5:$A$1000,SMALL(IF(Auction!$C$5:$C$1000=$A$1,ROW(Auction!$C$5:$C$1000)-ROW(Auction!$C$5)+1),ROWS($A$9:A24))),"")</f>
        <v/>
      </c>
      <c r="B24" s="9">
        <f t="array" ref="B24">IFERROR(INDEX(Auction!$B$5:$B$1000,SMALL(IF(Auction!$C$5:$C$1000=$A$1,ROW(Auction!$C$5:$C$1000)-ROW(Auction!$C$5)+1),ROWS($A$9:A24))),"")</f>
        <v/>
      </c>
      <c r="C24" s="10">
        <f>IFERROR(T(VLOOKUP($A24,Players!$A:$E,2,FALSE)),"")</f>
        <v/>
      </c>
      <c r="D24" s="10">
        <f>IFERROR(T(VLOOKUP($A24,Players!$A:$E,3,FALSE)),"")</f>
        <v/>
      </c>
      <c r="E24" s="8">
        <f>IFERROR(T(VLOOKUP($A24,Players!$A:$E,4,FALSE)),"")</f>
        <v/>
      </c>
      <c r="F24" s="8">
        <f>IFERROR(T(VLOOKUP($A24,Players!$A:$E,5,FALSE)),"")</f>
        <v/>
      </c>
    </row>
    <row r="25">
      <c r="A25" s="5">
        <f t="array" ref="A25">IFERROR(INDEX(Auction!$A$5:$A$1000,SMALL(IF(Auction!$C$5:$C$1000=$A$1,ROW(Auction!$C$5:$C$1000)-ROW(Auction!$C$5)+1),ROWS($A$9:A25))),"")</f>
        <v/>
      </c>
      <c r="B25" s="6">
        <f t="array" ref="B25">IFERROR(INDEX(Auction!$B$5:$B$1000,SMALL(IF(Auction!$C$5:$C$1000=$A$1,ROW(Auction!$C$5:$C$1000)-ROW(Auction!$C$5)+1),ROWS($A$9:A25))),"")</f>
        <v/>
      </c>
      <c r="C25" s="7">
        <f>IFERROR(T(VLOOKUP($A25,Players!$A:$E,2,FALSE)),"")</f>
        <v/>
      </c>
      <c r="D25" s="7">
        <f>IFERROR(T(VLOOKUP($A25,Players!$A:$E,3,FALSE)),"")</f>
        <v/>
      </c>
      <c r="E25" s="5">
        <f>IFERROR(T(VLOOKUP($A25,Players!$A:$E,4,FALSE)),"")</f>
        <v/>
      </c>
      <c r="F25" s="5">
        <f>IFERROR(T(VLOOKUP($A25,Players!$A:$E,5,FALSE)),"")</f>
        <v/>
      </c>
    </row>
    <row r="26">
      <c r="A26" s="8">
        <f t="array" ref="A26">IFERROR(INDEX(Auction!$A$5:$A$1000,SMALL(IF(Auction!$C$5:$C$1000=$A$1,ROW(Auction!$C$5:$C$1000)-ROW(Auction!$C$5)+1),ROWS($A$9:A26))),"")</f>
        <v/>
      </c>
      <c r="B26" s="9">
        <f t="array" ref="B26">IFERROR(INDEX(Auction!$B$5:$B$1000,SMALL(IF(Auction!$C$5:$C$1000=$A$1,ROW(Auction!$C$5:$C$1000)-ROW(Auction!$C$5)+1),ROWS($A$9:A26))),"")</f>
        <v/>
      </c>
      <c r="C26" s="10">
        <f>IFERROR(T(VLOOKUP($A26,Players!$A:$E,2,FALSE)),"")</f>
        <v/>
      </c>
      <c r="D26" s="10">
        <f>IFERROR(T(VLOOKUP($A26,Players!$A:$E,3,FALSE)),"")</f>
        <v/>
      </c>
      <c r="E26" s="8">
        <f>IFERROR(T(VLOOKUP($A26,Players!$A:$E,4,FALSE)),"")</f>
        <v/>
      </c>
      <c r="F26" s="8">
        <f>IFERROR(T(VLOOKUP($A26,Players!$A:$E,5,FALSE)),"")</f>
        <v/>
      </c>
    </row>
    <row r="27">
      <c r="A27" s="5">
        <f t="array" ref="A27">IFERROR(INDEX(Auction!$A$5:$A$1000,SMALL(IF(Auction!$C$5:$C$1000=$A$1,ROW(Auction!$C$5:$C$1000)-ROW(Auction!$C$5)+1),ROWS($A$9:A27))),"")</f>
        <v/>
      </c>
      <c r="B27" s="6">
        <f t="array" ref="B27">IFERROR(INDEX(Auction!$B$5:$B$1000,SMALL(IF(Auction!$C$5:$C$1000=$A$1,ROW(Auction!$C$5:$C$1000)-ROW(Auction!$C$5)+1),ROWS($A$9:A27))),"")</f>
        <v/>
      </c>
      <c r="C27" s="7">
        <f>IFERROR(T(VLOOKUP($A27,Players!$A:$E,2,FALSE)),"")</f>
        <v/>
      </c>
      <c r="D27" s="7">
        <f>IFERROR(T(VLOOKUP($A27,Players!$A:$E,3,FALSE)),"")</f>
        <v/>
      </c>
      <c r="E27" s="5">
        <f>IFERROR(T(VLOOKUP($A27,Players!$A:$E,4,FALSE)),"")</f>
        <v/>
      </c>
      <c r="F27" s="5">
        <f>IFERROR(T(VLOOKUP($A27,Players!$A:$E,5,FALSE)),"")</f>
        <v/>
      </c>
    </row>
    <row r="28">
      <c r="A28" s="8">
        <f t="array" ref="A28">IFERROR(INDEX(Auction!$A$5:$A$1000,SMALL(IF(Auction!$C$5:$C$1000=$A$1,ROW(Auction!$C$5:$C$1000)-ROW(Auction!$C$5)+1),ROWS($A$9:A28))),"")</f>
        <v/>
      </c>
      <c r="B28" s="9">
        <f t="array" ref="B28">IFERROR(INDEX(Auction!$B$5:$B$1000,SMALL(IF(Auction!$C$5:$C$1000=$A$1,ROW(Auction!$C$5:$C$1000)-ROW(Auction!$C$5)+1),ROWS($A$9:A28))),"")</f>
        <v/>
      </c>
      <c r="C28" s="10">
        <f>IFERROR(T(VLOOKUP($A28,Players!$A:$E,2,FALSE)),"")</f>
        <v/>
      </c>
      <c r="D28" s="10">
        <f>IFERROR(T(VLOOKUP($A28,Players!$A:$E,3,FALSE)),"")</f>
        <v/>
      </c>
      <c r="E28" s="8">
        <f>IFERROR(T(VLOOKUP($A28,Players!$A:$E,4,FALSE)),"")</f>
        <v/>
      </c>
      <c r="F28" s="8">
        <f>IFERROR(T(VLOOKUP($A28,Players!$A:$E,5,FALSE)),"")</f>
        <v/>
      </c>
    </row>
    <row r="29">
      <c r="A29" s="5">
        <f t="array" ref="A29">IFERROR(INDEX(Auction!$A$5:$A$1000,SMALL(IF(Auction!$C$5:$C$1000=$A$1,ROW(Auction!$C$5:$C$1000)-ROW(Auction!$C$5)+1),ROWS($A$9:A29))),"")</f>
        <v/>
      </c>
      <c r="B29" s="6">
        <f t="array" ref="B29">IFERROR(INDEX(Auction!$B$5:$B$1000,SMALL(IF(Auction!$C$5:$C$1000=$A$1,ROW(Auction!$C$5:$C$1000)-ROW(Auction!$C$5)+1),ROWS($A$9:A29))),"")</f>
        <v/>
      </c>
      <c r="C29" s="7">
        <f>IFERROR(T(VLOOKUP($A29,Players!$A:$E,2,FALSE)),"")</f>
        <v/>
      </c>
      <c r="D29" s="7">
        <f>IFERROR(T(VLOOKUP($A29,Players!$A:$E,3,FALSE)),"")</f>
        <v/>
      </c>
      <c r="E29" s="5">
        <f>IFERROR(T(VLOOKUP($A29,Players!$A:$E,4,FALSE)),"")</f>
        <v/>
      </c>
      <c r="F29" s="5">
        <f>IFERROR(T(VLOOKUP($A29,Players!$A:$E,5,FALSE)),"")</f>
        <v/>
      </c>
    </row>
    <row r="30">
      <c r="A30" s="8">
        <f t="array" ref="A30">IFERROR(INDEX(Auction!$A$5:$A$1000,SMALL(IF(Auction!$C$5:$C$1000=$A$1,ROW(Auction!$C$5:$C$1000)-ROW(Auction!$C$5)+1),ROWS($A$9:A30))),"")</f>
        <v/>
      </c>
      <c r="B30" s="9">
        <f t="array" ref="B30">IFERROR(INDEX(Auction!$B$5:$B$1000,SMALL(IF(Auction!$C$5:$C$1000=$A$1,ROW(Auction!$C$5:$C$1000)-ROW(Auction!$C$5)+1),ROWS($A$9:A30))),"")</f>
        <v/>
      </c>
      <c r="C30" s="10">
        <f>IFERROR(T(VLOOKUP($A30,Players!$A:$E,2,FALSE)),"")</f>
        <v/>
      </c>
      <c r="D30" s="10">
        <f>IFERROR(T(VLOOKUP($A30,Players!$A:$E,3,FALSE)),"")</f>
        <v/>
      </c>
      <c r="E30" s="8">
        <f>IFERROR(T(VLOOKUP($A30,Players!$A:$E,4,FALSE)),"")</f>
        <v/>
      </c>
      <c r="F30" s="8">
        <f>IFERROR(T(VLOOKUP($A30,Players!$A:$E,5,FALSE)),"")</f>
        <v/>
      </c>
    </row>
    <row r="31">
      <c r="A31" s="5">
        <f t="array" ref="A31">IFERROR(INDEX(Auction!$A$5:$A$1000,SMALL(IF(Auction!$C$5:$C$1000=$A$1,ROW(Auction!$C$5:$C$1000)-ROW(Auction!$C$5)+1),ROWS($A$9:A31))),"")</f>
        <v/>
      </c>
      <c r="B31" s="6">
        <f t="array" ref="B31">IFERROR(INDEX(Auction!$B$5:$B$1000,SMALL(IF(Auction!$C$5:$C$1000=$A$1,ROW(Auction!$C$5:$C$1000)-ROW(Auction!$C$5)+1),ROWS($A$9:A31))),"")</f>
        <v/>
      </c>
      <c r="C31" s="7">
        <f>IFERROR(T(VLOOKUP($A31,Players!$A:$E,2,FALSE)),"")</f>
        <v/>
      </c>
      <c r="D31" s="7">
        <f>IFERROR(T(VLOOKUP($A31,Players!$A:$E,3,FALSE)),"")</f>
        <v/>
      </c>
      <c r="E31" s="5">
        <f>IFERROR(T(VLOOKUP($A31,Players!$A:$E,4,FALSE)),"")</f>
        <v/>
      </c>
      <c r="F31" s="5">
        <f>IFERROR(T(VLOOKUP($A31,Players!$A:$E,5,FALSE)),"")</f>
        <v/>
      </c>
    </row>
    <row r="32">
      <c r="A32" s="8">
        <f t="array" ref="A32">IFERROR(INDEX(Auction!$A$5:$A$1000,SMALL(IF(Auction!$C$5:$C$1000=$A$1,ROW(Auction!$C$5:$C$1000)-ROW(Auction!$C$5)+1),ROWS($A$9:A32))),"")</f>
        <v/>
      </c>
      <c r="B32" s="9">
        <f t="array" ref="B32">IFERROR(INDEX(Auction!$B$5:$B$1000,SMALL(IF(Auction!$C$5:$C$1000=$A$1,ROW(Auction!$C$5:$C$1000)-ROW(Auction!$C$5)+1),ROWS($A$9:A32))),"")</f>
        <v/>
      </c>
      <c r="C32" s="10">
        <f>IFERROR(T(VLOOKUP($A32,Players!$A:$E,2,FALSE)),"")</f>
        <v/>
      </c>
      <c r="D32" s="10">
        <f>IFERROR(T(VLOOKUP($A32,Players!$A:$E,3,FALSE)),"")</f>
        <v/>
      </c>
      <c r="E32" s="8">
        <f>IFERROR(T(VLOOKUP($A32,Players!$A:$E,4,FALSE)),"")</f>
        <v/>
      </c>
      <c r="F32" s="8">
        <f>IFERROR(T(VLOOKUP($A32,Players!$A:$E,5,FALSE)),"")</f>
        <v/>
      </c>
    </row>
    <row r="33">
      <c r="A33" s="5">
        <f t="array" ref="A33">IFERROR(INDEX(Auction!$A$5:$A$1000,SMALL(IF(Auction!$C$5:$C$1000=$A$1,ROW(Auction!$C$5:$C$1000)-ROW(Auction!$C$5)+1),ROWS($A$9:A33))),"")</f>
        <v/>
      </c>
      <c r="B33" s="6">
        <f t="array" ref="B33">IFERROR(INDEX(Auction!$B$5:$B$1000,SMALL(IF(Auction!$C$5:$C$1000=$A$1,ROW(Auction!$C$5:$C$1000)-ROW(Auction!$C$5)+1),ROWS($A$9:A33))),"")</f>
        <v/>
      </c>
      <c r="C33" s="7">
        <f>IFERROR(T(VLOOKUP($A33,Players!$A:$E,2,FALSE)),"")</f>
        <v/>
      </c>
      <c r="D33" s="7">
        <f>IFERROR(T(VLOOKUP($A33,Players!$A:$E,3,FALSE)),"")</f>
        <v/>
      </c>
      <c r="E33" s="5">
        <f>IFERROR(T(VLOOKUP($A33,Players!$A:$E,4,FALSE)),"")</f>
        <v/>
      </c>
      <c r="F33" s="5">
        <f>IFERROR(T(VLOOKUP($A33,Players!$A:$E,5,FALSE)),"")</f>
        <v/>
      </c>
    </row>
    <row r="34">
      <c r="A34" s="8">
        <f t="array" ref="A34">IFERROR(INDEX(Auction!$A$5:$A$1000,SMALL(IF(Auction!$C$5:$C$1000=$A$1,ROW(Auction!$C$5:$C$1000)-ROW(Auction!$C$5)+1),ROWS($A$9:A34))),"")</f>
        <v/>
      </c>
      <c r="B34" s="9">
        <f t="array" ref="B34">IFERROR(INDEX(Auction!$B$5:$B$1000,SMALL(IF(Auction!$C$5:$C$1000=$A$1,ROW(Auction!$C$5:$C$1000)-ROW(Auction!$C$5)+1),ROWS($A$9:A34))),"")</f>
        <v/>
      </c>
      <c r="C34" s="10">
        <f>IFERROR(T(VLOOKUP($A34,Players!$A:$E,2,FALSE)),"")</f>
        <v/>
      </c>
      <c r="D34" s="10">
        <f>IFERROR(T(VLOOKUP($A34,Players!$A:$E,3,FALSE)),"")</f>
        <v/>
      </c>
      <c r="E34" s="8">
        <f>IFERROR(T(VLOOKUP($A34,Players!$A:$E,4,FALSE)),"")</f>
        <v/>
      </c>
      <c r="F34" s="8">
        <f>IFERROR(T(VLOOKUP($A34,Players!$A:$E,5,FALSE)),"")</f>
        <v/>
      </c>
    </row>
    <row r="35">
      <c r="A35" s="5">
        <f t="array" ref="A35">IFERROR(INDEX(Auction!$A$5:$A$1000,SMALL(IF(Auction!$C$5:$C$1000=$A$1,ROW(Auction!$C$5:$C$1000)-ROW(Auction!$C$5)+1),ROWS($A$9:A35))),"")</f>
        <v/>
      </c>
      <c r="B35" s="6">
        <f t="array" ref="B35">IFERROR(INDEX(Auction!$B$5:$B$1000,SMALL(IF(Auction!$C$5:$C$1000=$A$1,ROW(Auction!$C$5:$C$1000)-ROW(Auction!$C$5)+1),ROWS($A$9:A35))),"")</f>
        <v/>
      </c>
      <c r="C35" s="7">
        <f>IFERROR(T(VLOOKUP($A35,Players!$A:$E,2,FALSE)),"")</f>
        <v/>
      </c>
      <c r="D35" s="7">
        <f>IFERROR(T(VLOOKUP($A35,Players!$A:$E,3,FALSE)),"")</f>
        <v/>
      </c>
      <c r="E35" s="5">
        <f>IFERROR(T(VLOOKUP($A35,Players!$A:$E,4,FALSE)),"")</f>
        <v/>
      </c>
      <c r="F35" s="5">
        <f>IFERROR(T(VLOOKUP($A35,Players!$A:$E,5,FALSE)),"")</f>
        <v/>
      </c>
    </row>
    <row r="36">
      <c r="A36" s="8">
        <f t="array" ref="A36">IFERROR(INDEX(Auction!$A$5:$A$1000,SMALL(IF(Auction!$C$5:$C$1000=$A$1,ROW(Auction!$C$5:$C$1000)-ROW(Auction!$C$5)+1),ROWS($A$9:A36))),"")</f>
        <v/>
      </c>
      <c r="B36" s="9">
        <f t="array" ref="B36">IFERROR(INDEX(Auction!$B$5:$B$1000,SMALL(IF(Auction!$C$5:$C$1000=$A$1,ROW(Auction!$C$5:$C$1000)-ROW(Auction!$C$5)+1),ROWS($A$9:A36))),"")</f>
        <v/>
      </c>
      <c r="C36" s="10">
        <f>IFERROR(T(VLOOKUP($A36,Players!$A:$E,2,FALSE)),"")</f>
        <v/>
      </c>
      <c r="D36" s="10">
        <f>IFERROR(T(VLOOKUP($A36,Players!$A:$E,3,FALSE)),"")</f>
        <v/>
      </c>
      <c r="E36" s="8">
        <f>IFERROR(T(VLOOKUP($A36,Players!$A:$E,4,FALSE)),"")</f>
        <v/>
      </c>
      <c r="F36" s="8">
        <f>IFERROR(T(VLOOKUP($A36,Players!$A:$E,5,FALSE)),"")</f>
        <v/>
      </c>
    </row>
    <row r="37">
      <c r="A37" s="5">
        <f t="array" ref="A37">IFERROR(INDEX(Auction!$A$5:$A$1000,SMALL(IF(Auction!$C$5:$C$1000=$A$1,ROW(Auction!$C$5:$C$1000)-ROW(Auction!$C$5)+1),ROWS($A$9:A37))),"")</f>
        <v/>
      </c>
      <c r="B37" s="6">
        <f t="array" ref="B37">IFERROR(INDEX(Auction!$B$5:$B$1000,SMALL(IF(Auction!$C$5:$C$1000=$A$1,ROW(Auction!$C$5:$C$1000)-ROW(Auction!$C$5)+1),ROWS($A$9:A37))),"")</f>
        <v/>
      </c>
      <c r="C37" s="7">
        <f>IFERROR(T(VLOOKUP($A37,Players!$A:$E,2,FALSE)),"")</f>
        <v/>
      </c>
      <c r="D37" s="7">
        <f>IFERROR(T(VLOOKUP($A37,Players!$A:$E,3,FALSE)),"")</f>
        <v/>
      </c>
      <c r="E37" s="5">
        <f>IFERROR(T(VLOOKUP($A37,Players!$A:$E,4,FALSE)),"")</f>
        <v/>
      </c>
      <c r="F37" s="5">
        <f>IFERROR(T(VLOOKUP($A37,Players!$A:$E,5,FALSE)),"")</f>
        <v/>
      </c>
    </row>
    <row r="38">
      <c r="A38" s="8">
        <f t="array" ref="A38">IFERROR(INDEX(Auction!$A$5:$A$1000,SMALL(IF(Auction!$C$5:$C$1000=$A$1,ROW(Auction!$C$5:$C$1000)-ROW(Auction!$C$5)+1),ROWS($A$9:A38))),"")</f>
        <v/>
      </c>
      <c r="B38" s="9">
        <f t="array" ref="B38">IFERROR(INDEX(Auction!$B$5:$B$1000,SMALL(IF(Auction!$C$5:$C$1000=$A$1,ROW(Auction!$C$5:$C$1000)-ROW(Auction!$C$5)+1),ROWS($A$9:A38))),"")</f>
        <v/>
      </c>
      <c r="C38" s="10">
        <f>IFERROR(T(VLOOKUP($A38,Players!$A:$E,2,FALSE)),"")</f>
        <v/>
      </c>
      <c r="D38" s="10">
        <f>IFERROR(T(VLOOKUP($A38,Players!$A:$E,3,FALSE)),"")</f>
        <v/>
      </c>
      <c r="E38" s="8">
        <f>IFERROR(T(VLOOKUP($A38,Players!$A:$E,4,FALSE)),"")</f>
        <v/>
      </c>
      <c r="F38" s="8">
        <f>IFERROR(T(VLOOKUP($A38,Players!$A:$E,5,FALSE)),"")</f>
        <v/>
      </c>
    </row>
    <row r="39">
      <c r="A39" s="5">
        <f t="array" ref="A39">IFERROR(INDEX(Auction!$A$5:$A$1000,SMALL(IF(Auction!$C$5:$C$1000=$A$1,ROW(Auction!$C$5:$C$1000)-ROW(Auction!$C$5)+1),ROWS($A$9:A39))),"")</f>
        <v/>
      </c>
      <c r="B39" s="6">
        <f t="array" ref="B39">IFERROR(INDEX(Auction!$B$5:$B$1000,SMALL(IF(Auction!$C$5:$C$1000=$A$1,ROW(Auction!$C$5:$C$1000)-ROW(Auction!$C$5)+1),ROWS($A$9:A39))),"")</f>
        <v/>
      </c>
      <c r="C39" s="7">
        <f>IFERROR(T(VLOOKUP($A39,Players!$A:$E,2,FALSE)),"")</f>
        <v/>
      </c>
      <c r="D39" s="7">
        <f>IFERROR(T(VLOOKUP($A39,Players!$A:$E,3,FALSE)),"")</f>
        <v/>
      </c>
      <c r="E39" s="5">
        <f>IFERROR(T(VLOOKUP($A39,Players!$A:$E,4,FALSE)),"")</f>
        <v/>
      </c>
      <c r="F39" s="5">
        <f>IFERROR(T(VLOOKUP($A39,Players!$A:$E,5,FALSE)),"")</f>
        <v/>
      </c>
    </row>
    <row r="40">
      <c r="A40" s="8">
        <f t="array" ref="A40">IFERROR(INDEX(Auction!$A$5:$A$1000,SMALL(IF(Auction!$C$5:$C$1000=$A$1,ROW(Auction!$C$5:$C$1000)-ROW(Auction!$C$5)+1),ROWS($A$9:A40))),"")</f>
        <v/>
      </c>
      <c r="B40" s="9">
        <f t="array" ref="B40">IFERROR(INDEX(Auction!$B$5:$B$1000,SMALL(IF(Auction!$C$5:$C$1000=$A$1,ROW(Auction!$C$5:$C$1000)-ROW(Auction!$C$5)+1),ROWS($A$9:A40))),"")</f>
        <v/>
      </c>
      <c r="C40" s="10">
        <f>IFERROR(T(VLOOKUP($A40,Players!$A:$E,2,FALSE)),"")</f>
        <v/>
      </c>
      <c r="D40" s="10">
        <f>IFERROR(T(VLOOKUP($A40,Players!$A:$E,3,FALSE)),"")</f>
        <v/>
      </c>
      <c r="E40" s="8">
        <f>IFERROR(T(VLOOKUP($A40,Players!$A:$E,4,FALSE)),"")</f>
        <v/>
      </c>
      <c r="F40" s="8">
        <f>IFERROR(T(VLOOKUP($A40,Players!$A:$E,5,FALSE)),"")</f>
        <v/>
      </c>
    </row>
    <row r="41">
      <c r="A41" s="5">
        <f t="array" ref="A41">IFERROR(INDEX(Auction!$A$5:$A$1000,SMALL(IF(Auction!$C$5:$C$1000=$A$1,ROW(Auction!$C$5:$C$1000)-ROW(Auction!$C$5)+1),ROWS($A$9:A41))),"")</f>
        <v/>
      </c>
      <c r="B41" s="6">
        <f t="array" ref="B41">IFERROR(INDEX(Auction!$B$5:$B$1000,SMALL(IF(Auction!$C$5:$C$1000=$A$1,ROW(Auction!$C$5:$C$1000)-ROW(Auction!$C$5)+1),ROWS($A$9:A41))),"")</f>
        <v/>
      </c>
      <c r="C41" s="7">
        <f>IFERROR(T(VLOOKUP($A41,Players!$A:$E,2,FALSE)),"")</f>
        <v/>
      </c>
      <c r="D41" s="7">
        <f>IFERROR(T(VLOOKUP($A41,Players!$A:$E,3,FALSE)),"")</f>
        <v/>
      </c>
      <c r="E41" s="5">
        <f>IFERROR(T(VLOOKUP($A41,Players!$A:$E,4,FALSE)),"")</f>
        <v/>
      </c>
      <c r="F41" s="5">
        <f>IFERROR(T(VLOOKUP($A41,Players!$A:$E,5,FALSE)),"")</f>
        <v/>
      </c>
    </row>
    <row r="42">
      <c r="A42" s="8">
        <f t="array" ref="A42">IFERROR(INDEX(Auction!$A$5:$A$1000,SMALL(IF(Auction!$C$5:$C$1000=$A$1,ROW(Auction!$C$5:$C$1000)-ROW(Auction!$C$5)+1),ROWS($A$9:A42))),"")</f>
        <v/>
      </c>
      <c r="B42" s="9">
        <f t="array" ref="B42">IFERROR(INDEX(Auction!$B$5:$B$1000,SMALL(IF(Auction!$C$5:$C$1000=$A$1,ROW(Auction!$C$5:$C$1000)-ROW(Auction!$C$5)+1),ROWS($A$9:A42))),"")</f>
        <v/>
      </c>
      <c r="C42" s="10">
        <f>IFERROR(T(VLOOKUP($A42,Players!$A:$E,2,FALSE)),"")</f>
        <v/>
      </c>
      <c r="D42" s="10">
        <f>IFERROR(T(VLOOKUP($A42,Players!$A:$E,3,FALSE)),"")</f>
        <v/>
      </c>
      <c r="E42" s="8">
        <f>IFERROR(T(VLOOKUP($A42,Players!$A:$E,4,FALSE)),"")</f>
        <v/>
      </c>
      <c r="F42" s="8">
        <f>IFERROR(T(VLOOKUP($A42,Players!$A:$E,5,FALSE)),"")</f>
        <v/>
      </c>
    </row>
    <row r="43">
      <c r="A43" s="5">
        <f t="array" ref="A43">IFERROR(INDEX(Auction!$A$5:$A$1000,SMALL(IF(Auction!$C$5:$C$1000=$A$1,ROW(Auction!$C$5:$C$1000)-ROW(Auction!$C$5)+1),ROWS($A$9:A43))),"")</f>
        <v/>
      </c>
      <c r="B43" s="6">
        <f t="array" ref="B43">IFERROR(INDEX(Auction!$B$5:$B$1000,SMALL(IF(Auction!$C$5:$C$1000=$A$1,ROW(Auction!$C$5:$C$1000)-ROW(Auction!$C$5)+1),ROWS($A$9:A43))),"")</f>
        <v/>
      </c>
      <c r="C43" s="7">
        <f>IFERROR(T(VLOOKUP($A43,Players!$A:$E,2,FALSE)),"")</f>
        <v/>
      </c>
      <c r="D43" s="7">
        <f>IFERROR(T(VLOOKUP($A43,Players!$A:$E,3,FALSE)),"")</f>
        <v/>
      </c>
      <c r="E43" s="5">
        <f>IFERROR(T(VLOOKUP($A43,Players!$A:$E,4,FALSE)),"")</f>
        <v/>
      </c>
      <c r="F43" s="5">
        <f>IFERROR(T(VLOOKUP($A43,Players!$A:$E,5,FALSE)),"")</f>
        <v/>
      </c>
    </row>
    <row r="44">
      <c r="A44" s="8">
        <f t="array" ref="A44">IFERROR(INDEX(Auction!$A$5:$A$1000,SMALL(IF(Auction!$C$5:$C$1000=$A$1,ROW(Auction!$C$5:$C$1000)-ROW(Auction!$C$5)+1),ROWS($A$9:A44))),"")</f>
        <v/>
      </c>
      <c r="B44" s="9">
        <f t="array" ref="B44">IFERROR(INDEX(Auction!$B$5:$B$1000,SMALL(IF(Auction!$C$5:$C$1000=$A$1,ROW(Auction!$C$5:$C$1000)-ROW(Auction!$C$5)+1),ROWS($A$9:A44))),"")</f>
        <v/>
      </c>
      <c r="C44" s="10">
        <f>IFERROR(T(VLOOKUP($A44,Players!$A:$E,2,FALSE)),"")</f>
        <v/>
      </c>
      <c r="D44" s="10">
        <f>IFERROR(T(VLOOKUP($A44,Players!$A:$E,3,FALSE)),"")</f>
        <v/>
      </c>
      <c r="E44" s="8">
        <f>IFERROR(T(VLOOKUP($A44,Players!$A:$E,4,FALSE)),"")</f>
        <v/>
      </c>
      <c r="F44" s="8">
        <f>IFERROR(T(VLOOKUP($A44,Players!$A:$E,5,FALSE)),"")</f>
        <v/>
      </c>
    </row>
    <row r="45">
      <c r="A45" s="5">
        <f t="array" ref="A45">IFERROR(INDEX(Auction!$A$5:$A$1000,SMALL(IF(Auction!$C$5:$C$1000=$A$1,ROW(Auction!$C$5:$C$1000)-ROW(Auction!$C$5)+1),ROWS($A$9:A45))),"")</f>
        <v/>
      </c>
      <c r="B45" s="6">
        <f t="array" ref="B45">IFERROR(INDEX(Auction!$B$5:$B$1000,SMALL(IF(Auction!$C$5:$C$1000=$A$1,ROW(Auction!$C$5:$C$1000)-ROW(Auction!$C$5)+1),ROWS($A$9:A45))),"")</f>
        <v/>
      </c>
      <c r="C45" s="7">
        <f>IFERROR(T(VLOOKUP($A45,Players!$A:$E,2,FALSE)),"")</f>
        <v/>
      </c>
      <c r="D45" s="7">
        <f>IFERROR(T(VLOOKUP($A45,Players!$A:$E,3,FALSE)),"")</f>
        <v/>
      </c>
      <c r="E45" s="5">
        <f>IFERROR(T(VLOOKUP($A45,Players!$A:$E,4,FALSE)),"")</f>
        <v/>
      </c>
      <c r="F45" s="5">
        <f>IFERROR(T(VLOOKUP($A45,Players!$A:$E,5,FALSE)),"")</f>
        <v/>
      </c>
    </row>
    <row r="46">
      <c r="A46" s="8">
        <f t="array" ref="A46">IFERROR(INDEX(Auction!$A$5:$A$1000,SMALL(IF(Auction!$C$5:$C$1000=$A$1,ROW(Auction!$C$5:$C$1000)-ROW(Auction!$C$5)+1),ROWS($A$9:A46))),"")</f>
        <v/>
      </c>
      <c r="B46" s="9">
        <f t="array" ref="B46">IFERROR(INDEX(Auction!$B$5:$B$1000,SMALL(IF(Auction!$C$5:$C$1000=$A$1,ROW(Auction!$C$5:$C$1000)-ROW(Auction!$C$5)+1),ROWS($A$9:A46))),"")</f>
        <v/>
      </c>
      <c r="C46" s="10">
        <f>IFERROR(T(VLOOKUP($A46,Players!$A:$E,2,FALSE)),"")</f>
        <v/>
      </c>
      <c r="D46" s="10">
        <f>IFERROR(T(VLOOKUP($A46,Players!$A:$E,3,FALSE)),"")</f>
        <v/>
      </c>
      <c r="E46" s="8">
        <f>IFERROR(T(VLOOKUP($A46,Players!$A:$E,4,FALSE)),"")</f>
        <v/>
      </c>
      <c r="F46" s="8">
        <f>IFERROR(T(VLOOKUP($A46,Players!$A:$E,5,FALSE)),"")</f>
        <v/>
      </c>
    </row>
    <row r="47">
      <c r="A47" s="5">
        <f t="array" ref="A47">IFERROR(INDEX(Auction!$A$5:$A$1000,SMALL(IF(Auction!$C$5:$C$1000=$A$1,ROW(Auction!$C$5:$C$1000)-ROW(Auction!$C$5)+1),ROWS($A$9:A47))),"")</f>
        <v/>
      </c>
      <c r="B47" s="6">
        <f t="array" ref="B47">IFERROR(INDEX(Auction!$B$5:$B$1000,SMALL(IF(Auction!$C$5:$C$1000=$A$1,ROW(Auction!$C$5:$C$1000)-ROW(Auction!$C$5)+1),ROWS($A$9:A47))),"")</f>
        <v/>
      </c>
      <c r="C47" s="7">
        <f>IFERROR(T(VLOOKUP($A47,Players!$A:$E,2,FALSE)),"")</f>
        <v/>
      </c>
      <c r="D47" s="7">
        <f>IFERROR(T(VLOOKUP($A47,Players!$A:$E,3,FALSE)),"")</f>
        <v/>
      </c>
      <c r="E47" s="5">
        <f>IFERROR(T(VLOOKUP($A47,Players!$A:$E,4,FALSE)),"")</f>
        <v/>
      </c>
      <c r="F47" s="5">
        <f>IFERROR(T(VLOOKUP($A47,Players!$A:$E,5,FALSE)),"")</f>
        <v/>
      </c>
    </row>
    <row r="48">
      <c r="A48" s="8">
        <f t="array" ref="A48">IFERROR(INDEX(Auction!$A$5:$A$1000,SMALL(IF(Auction!$C$5:$C$1000=$A$1,ROW(Auction!$C$5:$C$1000)-ROW(Auction!$C$5)+1),ROWS($A$9:A48))),"")</f>
        <v/>
      </c>
      <c r="B48" s="9">
        <f t="array" ref="B48">IFERROR(INDEX(Auction!$B$5:$B$1000,SMALL(IF(Auction!$C$5:$C$1000=$A$1,ROW(Auction!$C$5:$C$1000)-ROW(Auction!$C$5)+1),ROWS($A$9:A48))),"")</f>
        <v/>
      </c>
      <c r="C48" s="10">
        <f>IFERROR(T(VLOOKUP($A48,Players!$A:$E,2,FALSE)),"")</f>
        <v/>
      </c>
      <c r="D48" s="10">
        <f>IFERROR(T(VLOOKUP($A48,Players!$A:$E,3,FALSE)),"")</f>
        <v/>
      </c>
      <c r="E48" s="8">
        <f>IFERROR(T(VLOOKUP($A48,Players!$A:$E,4,FALSE)),"")</f>
        <v/>
      </c>
      <c r="F48" s="8">
        <f>IFERROR(T(VLOOKUP($A48,Players!$A:$E,5,FALSE)),"")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5E8C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8" customWidth="1" min="4" max="4"/>
    <col width="14" customWidth="1" min="5" max="5"/>
    <col width="15" customWidth="1" min="6" max="6"/>
  </cols>
  <sheetData>
    <row r="1" ht="28" customHeight="1">
      <c r="A1" s="22">
        <f>Balance!A7</f>
        <v/>
      </c>
    </row>
    <row r="3">
      <c r="A3" s="23" t="inlineStr">
        <is>
          <t>Purse (Cr)</t>
        </is>
      </c>
      <c r="B3" s="24">
        <f>Balance!B7</f>
        <v/>
      </c>
    </row>
    <row r="4">
      <c r="A4" s="23" t="inlineStr">
        <is>
          <t>Spent (Cr)</t>
        </is>
      </c>
      <c r="B4" s="24">
        <f>Balance!C7</f>
        <v/>
      </c>
    </row>
    <row r="5">
      <c r="A5" s="25" t="inlineStr">
        <is>
          <t>Balance (Cr)</t>
        </is>
      </c>
      <c r="B5" s="26">
        <f>Balance!D7</f>
        <v/>
      </c>
    </row>
    <row r="6">
      <c r="A6" s="27" t="inlineStr">
        <is>
          <t>Players</t>
        </is>
      </c>
      <c r="B6" s="28">
        <f>Balance!E7</f>
        <v/>
      </c>
    </row>
    <row r="8">
      <c r="A8" s="3" t="inlineStr">
        <is>
          <t>Player</t>
        </is>
      </c>
      <c r="B8" s="3" t="inlineStr">
        <is>
          <t>Price (Cr)</t>
        </is>
      </c>
      <c r="C8" s="3" t="inlineStr">
        <is>
          <t>Role</t>
        </is>
      </c>
      <c r="D8" s="3" t="inlineStr">
        <is>
          <t>Hand</t>
        </is>
      </c>
      <c r="E8" s="3" t="inlineStr">
        <is>
          <t>Country</t>
        </is>
      </c>
      <c r="F8" s="3" t="inlineStr">
        <is>
          <t>City</t>
        </is>
      </c>
    </row>
    <row r="9">
      <c r="A9" s="5">
        <f t="array" ref="A9">IFERROR(INDEX(Auction!$A$5:$A$1000,SMALL(IF(Auction!$C$5:$C$1000=$A$1,ROW(Auction!$C$5:$C$1000)-ROW(Auction!$C$5)+1),ROWS($A$9:A9))),"")</f>
        <v/>
      </c>
      <c r="B9" s="6">
        <f t="array" ref="B9">IFERROR(INDEX(Auction!$B$5:$B$1000,SMALL(IF(Auction!$C$5:$C$1000=$A$1,ROW(Auction!$C$5:$C$1000)-ROW(Auction!$C$5)+1),ROWS($A$9:A9))),"")</f>
        <v/>
      </c>
      <c r="C9" s="7">
        <f>IFERROR(T(VLOOKUP($A9,Players!$A:$E,2,FALSE)),"")</f>
        <v/>
      </c>
      <c r="D9" s="7">
        <f>IFERROR(T(VLOOKUP($A9,Players!$A:$E,3,FALSE)),"")</f>
        <v/>
      </c>
      <c r="E9" s="5">
        <f>IFERROR(T(VLOOKUP($A9,Players!$A:$E,4,FALSE)),"")</f>
        <v/>
      </c>
      <c r="F9" s="5">
        <f>IFERROR(T(VLOOKUP($A9,Players!$A:$E,5,FALSE)),"")</f>
        <v/>
      </c>
    </row>
    <row r="10">
      <c r="A10" s="8">
        <f t="array" ref="A10">IFERROR(INDEX(Auction!$A$5:$A$1000,SMALL(IF(Auction!$C$5:$C$1000=$A$1,ROW(Auction!$C$5:$C$1000)-ROW(Auction!$C$5)+1),ROWS($A$9:A10))),"")</f>
        <v/>
      </c>
      <c r="B10" s="9">
        <f t="array" ref="B10">IFERROR(INDEX(Auction!$B$5:$B$1000,SMALL(IF(Auction!$C$5:$C$1000=$A$1,ROW(Auction!$C$5:$C$1000)-ROW(Auction!$C$5)+1),ROWS($A$9:A10))),"")</f>
        <v/>
      </c>
      <c r="C10" s="10">
        <f>IFERROR(T(VLOOKUP($A10,Players!$A:$E,2,FALSE)),"")</f>
        <v/>
      </c>
      <c r="D10" s="10">
        <f>IFERROR(T(VLOOKUP($A10,Players!$A:$E,3,FALSE)),"")</f>
        <v/>
      </c>
      <c r="E10" s="8">
        <f>IFERROR(T(VLOOKUP($A10,Players!$A:$E,4,FALSE)),"")</f>
        <v/>
      </c>
      <c r="F10" s="8">
        <f>IFERROR(T(VLOOKUP($A10,Players!$A:$E,5,FALSE)),"")</f>
        <v/>
      </c>
    </row>
    <row r="11">
      <c r="A11" s="5">
        <f t="array" ref="A11">IFERROR(INDEX(Auction!$A$5:$A$1000,SMALL(IF(Auction!$C$5:$C$1000=$A$1,ROW(Auction!$C$5:$C$1000)-ROW(Auction!$C$5)+1),ROWS($A$9:A11))),"")</f>
        <v/>
      </c>
      <c r="B11" s="6">
        <f t="array" ref="B11">IFERROR(INDEX(Auction!$B$5:$B$1000,SMALL(IF(Auction!$C$5:$C$1000=$A$1,ROW(Auction!$C$5:$C$1000)-ROW(Auction!$C$5)+1),ROWS($A$9:A11))),"")</f>
        <v/>
      </c>
      <c r="C11" s="7">
        <f>IFERROR(T(VLOOKUP($A11,Players!$A:$E,2,FALSE)),"")</f>
        <v/>
      </c>
      <c r="D11" s="7">
        <f>IFERROR(T(VLOOKUP($A11,Players!$A:$E,3,FALSE)),"")</f>
        <v/>
      </c>
      <c r="E11" s="5">
        <f>IFERROR(T(VLOOKUP($A11,Players!$A:$E,4,FALSE)),"")</f>
        <v/>
      </c>
      <c r="F11" s="5">
        <f>IFERROR(T(VLOOKUP($A11,Players!$A:$E,5,FALSE)),"")</f>
        <v/>
      </c>
    </row>
    <row r="12">
      <c r="A12" s="8">
        <f t="array" ref="A12">IFERROR(INDEX(Auction!$A$5:$A$1000,SMALL(IF(Auction!$C$5:$C$1000=$A$1,ROW(Auction!$C$5:$C$1000)-ROW(Auction!$C$5)+1),ROWS($A$9:A12))),"")</f>
        <v/>
      </c>
      <c r="B12" s="9">
        <f t="array" ref="B12">IFERROR(INDEX(Auction!$B$5:$B$1000,SMALL(IF(Auction!$C$5:$C$1000=$A$1,ROW(Auction!$C$5:$C$1000)-ROW(Auction!$C$5)+1),ROWS($A$9:A12))),"")</f>
        <v/>
      </c>
      <c r="C12" s="10">
        <f>IFERROR(T(VLOOKUP($A12,Players!$A:$E,2,FALSE)),"")</f>
        <v/>
      </c>
      <c r="D12" s="10">
        <f>IFERROR(T(VLOOKUP($A12,Players!$A:$E,3,FALSE)),"")</f>
        <v/>
      </c>
      <c r="E12" s="8">
        <f>IFERROR(T(VLOOKUP($A12,Players!$A:$E,4,FALSE)),"")</f>
        <v/>
      </c>
      <c r="F12" s="8">
        <f>IFERROR(T(VLOOKUP($A12,Players!$A:$E,5,FALSE)),"")</f>
        <v/>
      </c>
    </row>
    <row r="13">
      <c r="A13" s="5">
        <f t="array" ref="A13">IFERROR(INDEX(Auction!$A$5:$A$1000,SMALL(IF(Auction!$C$5:$C$1000=$A$1,ROW(Auction!$C$5:$C$1000)-ROW(Auction!$C$5)+1),ROWS($A$9:A13))),"")</f>
        <v/>
      </c>
      <c r="B13" s="6">
        <f t="array" ref="B13">IFERROR(INDEX(Auction!$B$5:$B$1000,SMALL(IF(Auction!$C$5:$C$1000=$A$1,ROW(Auction!$C$5:$C$1000)-ROW(Auction!$C$5)+1),ROWS($A$9:A13))),"")</f>
        <v/>
      </c>
      <c r="C13" s="7">
        <f>IFERROR(T(VLOOKUP($A13,Players!$A:$E,2,FALSE)),"")</f>
        <v/>
      </c>
      <c r="D13" s="7">
        <f>IFERROR(T(VLOOKUP($A13,Players!$A:$E,3,FALSE)),"")</f>
        <v/>
      </c>
      <c r="E13" s="5">
        <f>IFERROR(T(VLOOKUP($A13,Players!$A:$E,4,FALSE)),"")</f>
        <v/>
      </c>
      <c r="F13" s="5">
        <f>IFERROR(T(VLOOKUP($A13,Players!$A:$E,5,FALSE)),"")</f>
        <v/>
      </c>
    </row>
    <row r="14">
      <c r="A14" s="8">
        <f t="array" ref="A14">IFERROR(INDEX(Auction!$A$5:$A$1000,SMALL(IF(Auction!$C$5:$C$1000=$A$1,ROW(Auction!$C$5:$C$1000)-ROW(Auction!$C$5)+1),ROWS($A$9:A14))),"")</f>
        <v/>
      </c>
      <c r="B14" s="9">
        <f t="array" ref="B14">IFERROR(INDEX(Auction!$B$5:$B$1000,SMALL(IF(Auction!$C$5:$C$1000=$A$1,ROW(Auction!$C$5:$C$1000)-ROW(Auction!$C$5)+1),ROWS($A$9:A14))),"")</f>
        <v/>
      </c>
      <c r="C14" s="10">
        <f>IFERROR(T(VLOOKUP($A14,Players!$A:$E,2,FALSE)),"")</f>
        <v/>
      </c>
      <c r="D14" s="10">
        <f>IFERROR(T(VLOOKUP($A14,Players!$A:$E,3,FALSE)),"")</f>
        <v/>
      </c>
      <c r="E14" s="8">
        <f>IFERROR(T(VLOOKUP($A14,Players!$A:$E,4,FALSE)),"")</f>
        <v/>
      </c>
      <c r="F14" s="8">
        <f>IFERROR(T(VLOOKUP($A14,Players!$A:$E,5,FALSE)),"")</f>
        <v/>
      </c>
    </row>
    <row r="15">
      <c r="A15" s="5">
        <f t="array" ref="A15">IFERROR(INDEX(Auction!$A$5:$A$1000,SMALL(IF(Auction!$C$5:$C$1000=$A$1,ROW(Auction!$C$5:$C$1000)-ROW(Auction!$C$5)+1),ROWS($A$9:A15))),"")</f>
        <v/>
      </c>
      <c r="B15" s="6">
        <f t="array" ref="B15">IFERROR(INDEX(Auction!$B$5:$B$1000,SMALL(IF(Auction!$C$5:$C$1000=$A$1,ROW(Auction!$C$5:$C$1000)-ROW(Auction!$C$5)+1),ROWS($A$9:A15))),"")</f>
        <v/>
      </c>
      <c r="C15" s="7">
        <f>IFERROR(T(VLOOKUP($A15,Players!$A:$E,2,FALSE)),"")</f>
        <v/>
      </c>
      <c r="D15" s="7">
        <f>IFERROR(T(VLOOKUP($A15,Players!$A:$E,3,FALSE)),"")</f>
        <v/>
      </c>
      <c r="E15" s="5">
        <f>IFERROR(T(VLOOKUP($A15,Players!$A:$E,4,FALSE)),"")</f>
        <v/>
      </c>
      <c r="F15" s="5">
        <f>IFERROR(T(VLOOKUP($A15,Players!$A:$E,5,FALSE)),"")</f>
        <v/>
      </c>
    </row>
    <row r="16">
      <c r="A16" s="8">
        <f t="array" ref="A16">IFERROR(INDEX(Auction!$A$5:$A$1000,SMALL(IF(Auction!$C$5:$C$1000=$A$1,ROW(Auction!$C$5:$C$1000)-ROW(Auction!$C$5)+1),ROWS($A$9:A16))),"")</f>
        <v/>
      </c>
      <c r="B16" s="9">
        <f t="array" ref="B16">IFERROR(INDEX(Auction!$B$5:$B$1000,SMALL(IF(Auction!$C$5:$C$1000=$A$1,ROW(Auction!$C$5:$C$1000)-ROW(Auction!$C$5)+1),ROWS($A$9:A16))),"")</f>
        <v/>
      </c>
      <c r="C16" s="10">
        <f>IFERROR(T(VLOOKUP($A16,Players!$A:$E,2,FALSE)),"")</f>
        <v/>
      </c>
      <c r="D16" s="10">
        <f>IFERROR(T(VLOOKUP($A16,Players!$A:$E,3,FALSE)),"")</f>
        <v/>
      </c>
      <c r="E16" s="8">
        <f>IFERROR(T(VLOOKUP($A16,Players!$A:$E,4,FALSE)),"")</f>
        <v/>
      </c>
      <c r="F16" s="8">
        <f>IFERROR(T(VLOOKUP($A16,Players!$A:$E,5,FALSE)),"")</f>
        <v/>
      </c>
    </row>
    <row r="17">
      <c r="A17" s="5">
        <f t="array" ref="A17">IFERROR(INDEX(Auction!$A$5:$A$1000,SMALL(IF(Auction!$C$5:$C$1000=$A$1,ROW(Auction!$C$5:$C$1000)-ROW(Auction!$C$5)+1),ROWS($A$9:A17))),"")</f>
        <v/>
      </c>
      <c r="B17" s="6">
        <f t="array" ref="B17">IFERROR(INDEX(Auction!$B$5:$B$1000,SMALL(IF(Auction!$C$5:$C$1000=$A$1,ROW(Auction!$C$5:$C$1000)-ROW(Auction!$C$5)+1),ROWS($A$9:A17))),"")</f>
        <v/>
      </c>
      <c r="C17" s="7">
        <f>IFERROR(T(VLOOKUP($A17,Players!$A:$E,2,FALSE)),"")</f>
        <v/>
      </c>
      <c r="D17" s="7">
        <f>IFERROR(T(VLOOKUP($A17,Players!$A:$E,3,FALSE)),"")</f>
        <v/>
      </c>
      <c r="E17" s="5">
        <f>IFERROR(T(VLOOKUP($A17,Players!$A:$E,4,FALSE)),"")</f>
        <v/>
      </c>
      <c r="F17" s="5">
        <f>IFERROR(T(VLOOKUP($A17,Players!$A:$E,5,FALSE)),"")</f>
        <v/>
      </c>
    </row>
    <row r="18">
      <c r="A18" s="8">
        <f t="array" ref="A18">IFERROR(INDEX(Auction!$A$5:$A$1000,SMALL(IF(Auction!$C$5:$C$1000=$A$1,ROW(Auction!$C$5:$C$1000)-ROW(Auction!$C$5)+1),ROWS($A$9:A18))),"")</f>
        <v/>
      </c>
      <c r="B18" s="9">
        <f t="array" ref="B18">IFERROR(INDEX(Auction!$B$5:$B$1000,SMALL(IF(Auction!$C$5:$C$1000=$A$1,ROW(Auction!$C$5:$C$1000)-ROW(Auction!$C$5)+1),ROWS($A$9:A18))),"")</f>
        <v/>
      </c>
      <c r="C18" s="10">
        <f>IFERROR(T(VLOOKUP($A18,Players!$A:$E,2,FALSE)),"")</f>
        <v/>
      </c>
      <c r="D18" s="10">
        <f>IFERROR(T(VLOOKUP($A18,Players!$A:$E,3,FALSE)),"")</f>
        <v/>
      </c>
      <c r="E18" s="8">
        <f>IFERROR(T(VLOOKUP($A18,Players!$A:$E,4,FALSE)),"")</f>
        <v/>
      </c>
      <c r="F18" s="8">
        <f>IFERROR(T(VLOOKUP($A18,Players!$A:$E,5,FALSE)),"")</f>
        <v/>
      </c>
    </row>
    <row r="19">
      <c r="A19" s="5">
        <f t="array" ref="A19">IFERROR(INDEX(Auction!$A$5:$A$1000,SMALL(IF(Auction!$C$5:$C$1000=$A$1,ROW(Auction!$C$5:$C$1000)-ROW(Auction!$C$5)+1),ROWS($A$9:A19))),"")</f>
        <v/>
      </c>
      <c r="B19" s="6">
        <f t="array" ref="B19">IFERROR(INDEX(Auction!$B$5:$B$1000,SMALL(IF(Auction!$C$5:$C$1000=$A$1,ROW(Auction!$C$5:$C$1000)-ROW(Auction!$C$5)+1),ROWS($A$9:A19))),"")</f>
        <v/>
      </c>
      <c r="C19" s="7">
        <f>IFERROR(T(VLOOKUP($A19,Players!$A:$E,2,FALSE)),"")</f>
        <v/>
      </c>
      <c r="D19" s="7">
        <f>IFERROR(T(VLOOKUP($A19,Players!$A:$E,3,FALSE)),"")</f>
        <v/>
      </c>
      <c r="E19" s="5">
        <f>IFERROR(T(VLOOKUP($A19,Players!$A:$E,4,FALSE)),"")</f>
        <v/>
      </c>
      <c r="F19" s="5">
        <f>IFERROR(T(VLOOKUP($A19,Players!$A:$E,5,FALSE)),"")</f>
        <v/>
      </c>
    </row>
    <row r="20">
      <c r="A20" s="8">
        <f t="array" ref="A20">IFERROR(INDEX(Auction!$A$5:$A$1000,SMALL(IF(Auction!$C$5:$C$1000=$A$1,ROW(Auction!$C$5:$C$1000)-ROW(Auction!$C$5)+1),ROWS($A$9:A20))),"")</f>
        <v/>
      </c>
      <c r="B20" s="9">
        <f t="array" ref="B20">IFERROR(INDEX(Auction!$B$5:$B$1000,SMALL(IF(Auction!$C$5:$C$1000=$A$1,ROW(Auction!$C$5:$C$1000)-ROW(Auction!$C$5)+1),ROWS($A$9:A20))),"")</f>
        <v/>
      </c>
      <c r="C20" s="10">
        <f>IFERROR(T(VLOOKUP($A20,Players!$A:$E,2,FALSE)),"")</f>
        <v/>
      </c>
      <c r="D20" s="10">
        <f>IFERROR(T(VLOOKUP($A20,Players!$A:$E,3,FALSE)),"")</f>
        <v/>
      </c>
      <c r="E20" s="8">
        <f>IFERROR(T(VLOOKUP($A20,Players!$A:$E,4,FALSE)),"")</f>
        <v/>
      </c>
      <c r="F20" s="8">
        <f>IFERROR(T(VLOOKUP($A20,Players!$A:$E,5,FALSE)),"")</f>
        <v/>
      </c>
    </row>
    <row r="21">
      <c r="A21" s="5">
        <f t="array" ref="A21">IFERROR(INDEX(Auction!$A$5:$A$1000,SMALL(IF(Auction!$C$5:$C$1000=$A$1,ROW(Auction!$C$5:$C$1000)-ROW(Auction!$C$5)+1),ROWS($A$9:A21))),"")</f>
        <v/>
      </c>
      <c r="B21" s="6">
        <f t="array" ref="B21">IFERROR(INDEX(Auction!$B$5:$B$1000,SMALL(IF(Auction!$C$5:$C$1000=$A$1,ROW(Auction!$C$5:$C$1000)-ROW(Auction!$C$5)+1),ROWS($A$9:A21))),"")</f>
        <v/>
      </c>
      <c r="C21" s="7">
        <f>IFERROR(T(VLOOKUP($A21,Players!$A:$E,2,FALSE)),"")</f>
        <v/>
      </c>
      <c r="D21" s="7">
        <f>IFERROR(T(VLOOKUP($A21,Players!$A:$E,3,FALSE)),"")</f>
        <v/>
      </c>
      <c r="E21" s="5">
        <f>IFERROR(T(VLOOKUP($A21,Players!$A:$E,4,FALSE)),"")</f>
        <v/>
      </c>
      <c r="F21" s="5">
        <f>IFERROR(T(VLOOKUP($A21,Players!$A:$E,5,FALSE)),"")</f>
        <v/>
      </c>
    </row>
    <row r="22">
      <c r="A22" s="8">
        <f t="array" ref="A22">IFERROR(INDEX(Auction!$A$5:$A$1000,SMALL(IF(Auction!$C$5:$C$1000=$A$1,ROW(Auction!$C$5:$C$1000)-ROW(Auction!$C$5)+1),ROWS($A$9:A22))),"")</f>
        <v/>
      </c>
      <c r="B22" s="9">
        <f t="array" ref="B22">IFERROR(INDEX(Auction!$B$5:$B$1000,SMALL(IF(Auction!$C$5:$C$1000=$A$1,ROW(Auction!$C$5:$C$1000)-ROW(Auction!$C$5)+1),ROWS($A$9:A22))),"")</f>
        <v/>
      </c>
      <c r="C22" s="10">
        <f>IFERROR(T(VLOOKUP($A22,Players!$A:$E,2,FALSE)),"")</f>
        <v/>
      </c>
      <c r="D22" s="10">
        <f>IFERROR(T(VLOOKUP($A22,Players!$A:$E,3,FALSE)),"")</f>
        <v/>
      </c>
      <c r="E22" s="8">
        <f>IFERROR(T(VLOOKUP($A22,Players!$A:$E,4,FALSE)),"")</f>
        <v/>
      </c>
      <c r="F22" s="8">
        <f>IFERROR(T(VLOOKUP($A22,Players!$A:$E,5,FALSE)),"")</f>
        <v/>
      </c>
    </row>
    <row r="23">
      <c r="A23" s="5">
        <f t="array" ref="A23">IFERROR(INDEX(Auction!$A$5:$A$1000,SMALL(IF(Auction!$C$5:$C$1000=$A$1,ROW(Auction!$C$5:$C$1000)-ROW(Auction!$C$5)+1),ROWS($A$9:A23))),"")</f>
        <v/>
      </c>
      <c r="B23" s="6">
        <f t="array" ref="B23">IFERROR(INDEX(Auction!$B$5:$B$1000,SMALL(IF(Auction!$C$5:$C$1000=$A$1,ROW(Auction!$C$5:$C$1000)-ROW(Auction!$C$5)+1),ROWS($A$9:A23))),"")</f>
        <v/>
      </c>
      <c r="C23" s="7">
        <f>IFERROR(T(VLOOKUP($A23,Players!$A:$E,2,FALSE)),"")</f>
        <v/>
      </c>
      <c r="D23" s="7">
        <f>IFERROR(T(VLOOKUP($A23,Players!$A:$E,3,FALSE)),"")</f>
        <v/>
      </c>
      <c r="E23" s="5">
        <f>IFERROR(T(VLOOKUP($A23,Players!$A:$E,4,FALSE)),"")</f>
        <v/>
      </c>
      <c r="F23" s="5">
        <f>IFERROR(T(VLOOKUP($A23,Players!$A:$E,5,FALSE)),"")</f>
        <v/>
      </c>
    </row>
    <row r="24">
      <c r="A24" s="8">
        <f t="array" ref="A24">IFERROR(INDEX(Auction!$A$5:$A$1000,SMALL(IF(Auction!$C$5:$C$1000=$A$1,ROW(Auction!$C$5:$C$1000)-ROW(Auction!$C$5)+1),ROWS($A$9:A24))),"")</f>
        <v/>
      </c>
      <c r="B24" s="9">
        <f t="array" ref="B24">IFERROR(INDEX(Auction!$B$5:$B$1000,SMALL(IF(Auction!$C$5:$C$1000=$A$1,ROW(Auction!$C$5:$C$1000)-ROW(Auction!$C$5)+1),ROWS($A$9:A24))),"")</f>
        <v/>
      </c>
      <c r="C24" s="10">
        <f>IFERROR(T(VLOOKUP($A24,Players!$A:$E,2,FALSE)),"")</f>
        <v/>
      </c>
      <c r="D24" s="10">
        <f>IFERROR(T(VLOOKUP($A24,Players!$A:$E,3,FALSE)),"")</f>
        <v/>
      </c>
      <c r="E24" s="8">
        <f>IFERROR(T(VLOOKUP($A24,Players!$A:$E,4,FALSE)),"")</f>
        <v/>
      </c>
      <c r="F24" s="8">
        <f>IFERROR(T(VLOOKUP($A24,Players!$A:$E,5,FALSE)),"")</f>
        <v/>
      </c>
    </row>
    <row r="25">
      <c r="A25" s="5">
        <f t="array" ref="A25">IFERROR(INDEX(Auction!$A$5:$A$1000,SMALL(IF(Auction!$C$5:$C$1000=$A$1,ROW(Auction!$C$5:$C$1000)-ROW(Auction!$C$5)+1),ROWS($A$9:A25))),"")</f>
        <v/>
      </c>
      <c r="B25" s="6">
        <f t="array" ref="B25">IFERROR(INDEX(Auction!$B$5:$B$1000,SMALL(IF(Auction!$C$5:$C$1000=$A$1,ROW(Auction!$C$5:$C$1000)-ROW(Auction!$C$5)+1),ROWS($A$9:A25))),"")</f>
        <v/>
      </c>
      <c r="C25" s="7">
        <f>IFERROR(T(VLOOKUP($A25,Players!$A:$E,2,FALSE)),"")</f>
        <v/>
      </c>
      <c r="D25" s="7">
        <f>IFERROR(T(VLOOKUP($A25,Players!$A:$E,3,FALSE)),"")</f>
        <v/>
      </c>
      <c r="E25" s="5">
        <f>IFERROR(T(VLOOKUP($A25,Players!$A:$E,4,FALSE)),"")</f>
        <v/>
      </c>
      <c r="F25" s="5">
        <f>IFERROR(T(VLOOKUP($A25,Players!$A:$E,5,FALSE)),"")</f>
        <v/>
      </c>
    </row>
    <row r="26">
      <c r="A26" s="8">
        <f t="array" ref="A26">IFERROR(INDEX(Auction!$A$5:$A$1000,SMALL(IF(Auction!$C$5:$C$1000=$A$1,ROW(Auction!$C$5:$C$1000)-ROW(Auction!$C$5)+1),ROWS($A$9:A26))),"")</f>
        <v/>
      </c>
      <c r="B26" s="9">
        <f t="array" ref="B26">IFERROR(INDEX(Auction!$B$5:$B$1000,SMALL(IF(Auction!$C$5:$C$1000=$A$1,ROW(Auction!$C$5:$C$1000)-ROW(Auction!$C$5)+1),ROWS($A$9:A26))),"")</f>
        <v/>
      </c>
      <c r="C26" s="10">
        <f>IFERROR(T(VLOOKUP($A26,Players!$A:$E,2,FALSE)),"")</f>
        <v/>
      </c>
      <c r="D26" s="10">
        <f>IFERROR(T(VLOOKUP($A26,Players!$A:$E,3,FALSE)),"")</f>
        <v/>
      </c>
      <c r="E26" s="8">
        <f>IFERROR(T(VLOOKUP($A26,Players!$A:$E,4,FALSE)),"")</f>
        <v/>
      </c>
      <c r="F26" s="8">
        <f>IFERROR(T(VLOOKUP($A26,Players!$A:$E,5,FALSE)),"")</f>
        <v/>
      </c>
    </row>
    <row r="27">
      <c r="A27" s="5">
        <f t="array" ref="A27">IFERROR(INDEX(Auction!$A$5:$A$1000,SMALL(IF(Auction!$C$5:$C$1000=$A$1,ROW(Auction!$C$5:$C$1000)-ROW(Auction!$C$5)+1),ROWS($A$9:A27))),"")</f>
        <v/>
      </c>
      <c r="B27" s="6">
        <f t="array" ref="B27">IFERROR(INDEX(Auction!$B$5:$B$1000,SMALL(IF(Auction!$C$5:$C$1000=$A$1,ROW(Auction!$C$5:$C$1000)-ROW(Auction!$C$5)+1),ROWS($A$9:A27))),"")</f>
        <v/>
      </c>
      <c r="C27" s="7">
        <f>IFERROR(T(VLOOKUP($A27,Players!$A:$E,2,FALSE)),"")</f>
        <v/>
      </c>
      <c r="D27" s="7">
        <f>IFERROR(T(VLOOKUP($A27,Players!$A:$E,3,FALSE)),"")</f>
        <v/>
      </c>
      <c r="E27" s="5">
        <f>IFERROR(T(VLOOKUP($A27,Players!$A:$E,4,FALSE)),"")</f>
        <v/>
      </c>
      <c r="F27" s="5">
        <f>IFERROR(T(VLOOKUP($A27,Players!$A:$E,5,FALSE)),"")</f>
        <v/>
      </c>
    </row>
    <row r="28">
      <c r="A28" s="8">
        <f t="array" ref="A28">IFERROR(INDEX(Auction!$A$5:$A$1000,SMALL(IF(Auction!$C$5:$C$1000=$A$1,ROW(Auction!$C$5:$C$1000)-ROW(Auction!$C$5)+1),ROWS($A$9:A28))),"")</f>
        <v/>
      </c>
      <c r="B28" s="9">
        <f t="array" ref="B28">IFERROR(INDEX(Auction!$B$5:$B$1000,SMALL(IF(Auction!$C$5:$C$1000=$A$1,ROW(Auction!$C$5:$C$1000)-ROW(Auction!$C$5)+1),ROWS($A$9:A28))),"")</f>
        <v/>
      </c>
      <c r="C28" s="10">
        <f>IFERROR(T(VLOOKUP($A28,Players!$A:$E,2,FALSE)),"")</f>
        <v/>
      </c>
      <c r="D28" s="10">
        <f>IFERROR(T(VLOOKUP($A28,Players!$A:$E,3,FALSE)),"")</f>
        <v/>
      </c>
      <c r="E28" s="8">
        <f>IFERROR(T(VLOOKUP($A28,Players!$A:$E,4,FALSE)),"")</f>
        <v/>
      </c>
      <c r="F28" s="8">
        <f>IFERROR(T(VLOOKUP($A28,Players!$A:$E,5,FALSE)),"")</f>
        <v/>
      </c>
    </row>
    <row r="29">
      <c r="A29" s="5">
        <f t="array" ref="A29">IFERROR(INDEX(Auction!$A$5:$A$1000,SMALL(IF(Auction!$C$5:$C$1000=$A$1,ROW(Auction!$C$5:$C$1000)-ROW(Auction!$C$5)+1),ROWS($A$9:A29))),"")</f>
        <v/>
      </c>
      <c r="B29" s="6">
        <f t="array" ref="B29">IFERROR(INDEX(Auction!$B$5:$B$1000,SMALL(IF(Auction!$C$5:$C$1000=$A$1,ROW(Auction!$C$5:$C$1000)-ROW(Auction!$C$5)+1),ROWS($A$9:A29))),"")</f>
        <v/>
      </c>
      <c r="C29" s="7">
        <f>IFERROR(T(VLOOKUP($A29,Players!$A:$E,2,FALSE)),"")</f>
        <v/>
      </c>
      <c r="D29" s="7">
        <f>IFERROR(T(VLOOKUP($A29,Players!$A:$E,3,FALSE)),"")</f>
        <v/>
      </c>
      <c r="E29" s="5">
        <f>IFERROR(T(VLOOKUP($A29,Players!$A:$E,4,FALSE)),"")</f>
        <v/>
      </c>
      <c r="F29" s="5">
        <f>IFERROR(T(VLOOKUP($A29,Players!$A:$E,5,FALSE)),"")</f>
        <v/>
      </c>
    </row>
    <row r="30">
      <c r="A30" s="8">
        <f t="array" ref="A30">IFERROR(INDEX(Auction!$A$5:$A$1000,SMALL(IF(Auction!$C$5:$C$1000=$A$1,ROW(Auction!$C$5:$C$1000)-ROW(Auction!$C$5)+1),ROWS($A$9:A30))),"")</f>
        <v/>
      </c>
      <c r="B30" s="9">
        <f t="array" ref="B30">IFERROR(INDEX(Auction!$B$5:$B$1000,SMALL(IF(Auction!$C$5:$C$1000=$A$1,ROW(Auction!$C$5:$C$1000)-ROW(Auction!$C$5)+1),ROWS($A$9:A30))),"")</f>
        <v/>
      </c>
      <c r="C30" s="10">
        <f>IFERROR(T(VLOOKUP($A30,Players!$A:$E,2,FALSE)),"")</f>
        <v/>
      </c>
      <c r="D30" s="10">
        <f>IFERROR(T(VLOOKUP($A30,Players!$A:$E,3,FALSE)),"")</f>
        <v/>
      </c>
      <c r="E30" s="8">
        <f>IFERROR(T(VLOOKUP($A30,Players!$A:$E,4,FALSE)),"")</f>
        <v/>
      </c>
      <c r="F30" s="8">
        <f>IFERROR(T(VLOOKUP($A30,Players!$A:$E,5,FALSE)),"")</f>
        <v/>
      </c>
    </row>
    <row r="31">
      <c r="A31" s="5">
        <f t="array" ref="A31">IFERROR(INDEX(Auction!$A$5:$A$1000,SMALL(IF(Auction!$C$5:$C$1000=$A$1,ROW(Auction!$C$5:$C$1000)-ROW(Auction!$C$5)+1),ROWS($A$9:A31))),"")</f>
        <v/>
      </c>
      <c r="B31" s="6">
        <f t="array" ref="B31">IFERROR(INDEX(Auction!$B$5:$B$1000,SMALL(IF(Auction!$C$5:$C$1000=$A$1,ROW(Auction!$C$5:$C$1000)-ROW(Auction!$C$5)+1),ROWS($A$9:A31))),"")</f>
        <v/>
      </c>
      <c r="C31" s="7">
        <f>IFERROR(T(VLOOKUP($A31,Players!$A:$E,2,FALSE)),"")</f>
        <v/>
      </c>
      <c r="D31" s="7">
        <f>IFERROR(T(VLOOKUP($A31,Players!$A:$E,3,FALSE)),"")</f>
        <v/>
      </c>
      <c r="E31" s="5">
        <f>IFERROR(T(VLOOKUP($A31,Players!$A:$E,4,FALSE)),"")</f>
        <v/>
      </c>
      <c r="F31" s="5">
        <f>IFERROR(T(VLOOKUP($A31,Players!$A:$E,5,FALSE)),"")</f>
        <v/>
      </c>
    </row>
    <row r="32">
      <c r="A32" s="8">
        <f t="array" ref="A32">IFERROR(INDEX(Auction!$A$5:$A$1000,SMALL(IF(Auction!$C$5:$C$1000=$A$1,ROW(Auction!$C$5:$C$1000)-ROW(Auction!$C$5)+1),ROWS($A$9:A32))),"")</f>
        <v/>
      </c>
      <c r="B32" s="9">
        <f t="array" ref="B32">IFERROR(INDEX(Auction!$B$5:$B$1000,SMALL(IF(Auction!$C$5:$C$1000=$A$1,ROW(Auction!$C$5:$C$1000)-ROW(Auction!$C$5)+1),ROWS($A$9:A32))),"")</f>
        <v/>
      </c>
      <c r="C32" s="10">
        <f>IFERROR(T(VLOOKUP($A32,Players!$A:$E,2,FALSE)),"")</f>
        <v/>
      </c>
      <c r="D32" s="10">
        <f>IFERROR(T(VLOOKUP($A32,Players!$A:$E,3,FALSE)),"")</f>
        <v/>
      </c>
      <c r="E32" s="8">
        <f>IFERROR(T(VLOOKUP($A32,Players!$A:$E,4,FALSE)),"")</f>
        <v/>
      </c>
      <c r="F32" s="8">
        <f>IFERROR(T(VLOOKUP($A32,Players!$A:$E,5,FALSE)),"")</f>
        <v/>
      </c>
    </row>
    <row r="33">
      <c r="A33" s="5">
        <f t="array" ref="A33">IFERROR(INDEX(Auction!$A$5:$A$1000,SMALL(IF(Auction!$C$5:$C$1000=$A$1,ROW(Auction!$C$5:$C$1000)-ROW(Auction!$C$5)+1),ROWS($A$9:A33))),"")</f>
        <v/>
      </c>
      <c r="B33" s="6">
        <f t="array" ref="B33">IFERROR(INDEX(Auction!$B$5:$B$1000,SMALL(IF(Auction!$C$5:$C$1000=$A$1,ROW(Auction!$C$5:$C$1000)-ROW(Auction!$C$5)+1),ROWS($A$9:A33))),"")</f>
        <v/>
      </c>
      <c r="C33" s="7">
        <f>IFERROR(T(VLOOKUP($A33,Players!$A:$E,2,FALSE)),"")</f>
        <v/>
      </c>
      <c r="D33" s="7">
        <f>IFERROR(T(VLOOKUP($A33,Players!$A:$E,3,FALSE)),"")</f>
        <v/>
      </c>
      <c r="E33" s="5">
        <f>IFERROR(T(VLOOKUP($A33,Players!$A:$E,4,FALSE)),"")</f>
        <v/>
      </c>
      <c r="F33" s="5">
        <f>IFERROR(T(VLOOKUP($A33,Players!$A:$E,5,FALSE)),"")</f>
        <v/>
      </c>
    </row>
    <row r="34">
      <c r="A34" s="8">
        <f t="array" ref="A34">IFERROR(INDEX(Auction!$A$5:$A$1000,SMALL(IF(Auction!$C$5:$C$1000=$A$1,ROW(Auction!$C$5:$C$1000)-ROW(Auction!$C$5)+1),ROWS($A$9:A34))),"")</f>
        <v/>
      </c>
      <c r="B34" s="9">
        <f t="array" ref="B34">IFERROR(INDEX(Auction!$B$5:$B$1000,SMALL(IF(Auction!$C$5:$C$1000=$A$1,ROW(Auction!$C$5:$C$1000)-ROW(Auction!$C$5)+1),ROWS($A$9:A34))),"")</f>
        <v/>
      </c>
      <c r="C34" s="10">
        <f>IFERROR(T(VLOOKUP($A34,Players!$A:$E,2,FALSE)),"")</f>
        <v/>
      </c>
      <c r="D34" s="10">
        <f>IFERROR(T(VLOOKUP($A34,Players!$A:$E,3,FALSE)),"")</f>
        <v/>
      </c>
      <c r="E34" s="8">
        <f>IFERROR(T(VLOOKUP($A34,Players!$A:$E,4,FALSE)),"")</f>
        <v/>
      </c>
      <c r="F34" s="8">
        <f>IFERROR(T(VLOOKUP($A34,Players!$A:$E,5,FALSE)),"")</f>
        <v/>
      </c>
    </row>
    <row r="35">
      <c r="A35" s="5">
        <f t="array" ref="A35">IFERROR(INDEX(Auction!$A$5:$A$1000,SMALL(IF(Auction!$C$5:$C$1000=$A$1,ROW(Auction!$C$5:$C$1000)-ROW(Auction!$C$5)+1),ROWS($A$9:A35))),"")</f>
        <v/>
      </c>
      <c r="B35" s="6">
        <f t="array" ref="B35">IFERROR(INDEX(Auction!$B$5:$B$1000,SMALL(IF(Auction!$C$5:$C$1000=$A$1,ROW(Auction!$C$5:$C$1000)-ROW(Auction!$C$5)+1),ROWS($A$9:A35))),"")</f>
        <v/>
      </c>
      <c r="C35" s="7">
        <f>IFERROR(T(VLOOKUP($A35,Players!$A:$E,2,FALSE)),"")</f>
        <v/>
      </c>
      <c r="D35" s="7">
        <f>IFERROR(T(VLOOKUP($A35,Players!$A:$E,3,FALSE)),"")</f>
        <v/>
      </c>
      <c r="E35" s="5">
        <f>IFERROR(T(VLOOKUP($A35,Players!$A:$E,4,FALSE)),"")</f>
        <v/>
      </c>
      <c r="F35" s="5">
        <f>IFERROR(T(VLOOKUP($A35,Players!$A:$E,5,FALSE)),"")</f>
        <v/>
      </c>
    </row>
    <row r="36">
      <c r="A36" s="8">
        <f t="array" ref="A36">IFERROR(INDEX(Auction!$A$5:$A$1000,SMALL(IF(Auction!$C$5:$C$1000=$A$1,ROW(Auction!$C$5:$C$1000)-ROW(Auction!$C$5)+1),ROWS($A$9:A36))),"")</f>
        <v/>
      </c>
      <c r="B36" s="9">
        <f t="array" ref="B36">IFERROR(INDEX(Auction!$B$5:$B$1000,SMALL(IF(Auction!$C$5:$C$1000=$A$1,ROW(Auction!$C$5:$C$1000)-ROW(Auction!$C$5)+1),ROWS($A$9:A36))),"")</f>
        <v/>
      </c>
      <c r="C36" s="10">
        <f>IFERROR(T(VLOOKUP($A36,Players!$A:$E,2,FALSE)),"")</f>
        <v/>
      </c>
      <c r="D36" s="10">
        <f>IFERROR(T(VLOOKUP($A36,Players!$A:$E,3,FALSE)),"")</f>
        <v/>
      </c>
      <c r="E36" s="8">
        <f>IFERROR(T(VLOOKUP($A36,Players!$A:$E,4,FALSE)),"")</f>
        <v/>
      </c>
      <c r="F36" s="8">
        <f>IFERROR(T(VLOOKUP($A36,Players!$A:$E,5,FALSE)),"")</f>
        <v/>
      </c>
    </row>
    <row r="37">
      <c r="A37" s="5">
        <f t="array" ref="A37">IFERROR(INDEX(Auction!$A$5:$A$1000,SMALL(IF(Auction!$C$5:$C$1000=$A$1,ROW(Auction!$C$5:$C$1000)-ROW(Auction!$C$5)+1),ROWS($A$9:A37))),"")</f>
        <v/>
      </c>
      <c r="B37" s="6">
        <f t="array" ref="B37">IFERROR(INDEX(Auction!$B$5:$B$1000,SMALL(IF(Auction!$C$5:$C$1000=$A$1,ROW(Auction!$C$5:$C$1000)-ROW(Auction!$C$5)+1),ROWS($A$9:A37))),"")</f>
        <v/>
      </c>
      <c r="C37" s="7">
        <f>IFERROR(T(VLOOKUP($A37,Players!$A:$E,2,FALSE)),"")</f>
        <v/>
      </c>
      <c r="D37" s="7">
        <f>IFERROR(T(VLOOKUP($A37,Players!$A:$E,3,FALSE)),"")</f>
        <v/>
      </c>
      <c r="E37" s="5">
        <f>IFERROR(T(VLOOKUP($A37,Players!$A:$E,4,FALSE)),"")</f>
        <v/>
      </c>
      <c r="F37" s="5">
        <f>IFERROR(T(VLOOKUP($A37,Players!$A:$E,5,FALSE)),"")</f>
        <v/>
      </c>
    </row>
    <row r="38">
      <c r="A38" s="8">
        <f t="array" ref="A38">IFERROR(INDEX(Auction!$A$5:$A$1000,SMALL(IF(Auction!$C$5:$C$1000=$A$1,ROW(Auction!$C$5:$C$1000)-ROW(Auction!$C$5)+1),ROWS($A$9:A38))),"")</f>
        <v/>
      </c>
      <c r="B38" s="9">
        <f t="array" ref="B38">IFERROR(INDEX(Auction!$B$5:$B$1000,SMALL(IF(Auction!$C$5:$C$1000=$A$1,ROW(Auction!$C$5:$C$1000)-ROW(Auction!$C$5)+1),ROWS($A$9:A38))),"")</f>
        <v/>
      </c>
      <c r="C38" s="10">
        <f>IFERROR(T(VLOOKUP($A38,Players!$A:$E,2,FALSE)),"")</f>
        <v/>
      </c>
      <c r="D38" s="10">
        <f>IFERROR(T(VLOOKUP($A38,Players!$A:$E,3,FALSE)),"")</f>
        <v/>
      </c>
      <c r="E38" s="8">
        <f>IFERROR(T(VLOOKUP($A38,Players!$A:$E,4,FALSE)),"")</f>
        <v/>
      </c>
      <c r="F38" s="8">
        <f>IFERROR(T(VLOOKUP($A38,Players!$A:$E,5,FALSE)),"")</f>
        <v/>
      </c>
    </row>
    <row r="39">
      <c r="A39" s="5">
        <f t="array" ref="A39">IFERROR(INDEX(Auction!$A$5:$A$1000,SMALL(IF(Auction!$C$5:$C$1000=$A$1,ROW(Auction!$C$5:$C$1000)-ROW(Auction!$C$5)+1),ROWS($A$9:A39))),"")</f>
        <v/>
      </c>
      <c r="B39" s="6">
        <f t="array" ref="B39">IFERROR(INDEX(Auction!$B$5:$B$1000,SMALL(IF(Auction!$C$5:$C$1000=$A$1,ROW(Auction!$C$5:$C$1000)-ROW(Auction!$C$5)+1),ROWS($A$9:A39))),"")</f>
        <v/>
      </c>
      <c r="C39" s="7">
        <f>IFERROR(T(VLOOKUP($A39,Players!$A:$E,2,FALSE)),"")</f>
        <v/>
      </c>
      <c r="D39" s="7">
        <f>IFERROR(T(VLOOKUP($A39,Players!$A:$E,3,FALSE)),"")</f>
        <v/>
      </c>
      <c r="E39" s="5">
        <f>IFERROR(T(VLOOKUP($A39,Players!$A:$E,4,FALSE)),"")</f>
        <v/>
      </c>
      <c r="F39" s="5">
        <f>IFERROR(T(VLOOKUP($A39,Players!$A:$E,5,FALSE)),"")</f>
        <v/>
      </c>
    </row>
    <row r="40">
      <c r="A40" s="8">
        <f t="array" ref="A40">IFERROR(INDEX(Auction!$A$5:$A$1000,SMALL(IF(Auction!$C$5:$C$1000=$A$1,ROW(Auction!$C$5:$C$1000)-ROW(Auction!$C$5)+1),ROWS($A$9:A40))),"")</f>
        <v/>
      </c>
      <c r="B40" s="9">
        <f t="array" ref="B40">IFERROR(INDEX(Auction!$B$5:$B$1000,SMALL(IF(Auction!$C$5:$C$1000=$A$1,ROW(Auction!$C$5:$C$1000)-ROW(Auction!$C$5)+1),ROWS($A$9:A40))),"")</f>
        <v/>
      </c>
      <c r="C40" s="10">
        <f>IFERROR(T(VLOOKUP($A40,Players!$A:$E,2,FALSE)),"")</f>
        <v/>
      </c>
      <c r="D40" s="10">
        <f>IFERROR(T(VLOOKUP($A40,Players!$A:$E,3,FALSE)),"")</f>
        <v/>
      </c>
      <c r="E40" s="8">
        <f>IFERROR(T(VLOOKUP($A40,Players!$A:$E,4,FALSE)),"")</f>
        <v/>
      </c>
      <c r="F40" s="8">
        <f>IFERROR(T(VLOOKUP($A40,Players!$A:$E,5,FALSE)),"")</f>
        <v/>
      </c>
    </row>
    <row r="41">
      <c r="A41" s="5">
        <f t="array" ref="A41">IFERROR(INDEX(Auction!$A$5:$A$1000,SMALL(IF(Auction!$C$5:$C$1000=$A$1,ROW(Auction!$C$5:$C$1000)-ROW(Auction!$C$5)+1),ROWS($A$9:A41))),"")</f>
        <v/>
      </c>
      <c r="B41" s="6">
        <f t="array" ref="B41">IFERROR(INDEX(Auction!$B$5:$B$1000,SMALL(IF(Auction!$C$5:$C$1000=$A$1,ROW(Auction!$C$5:$C$1000)-ROW(Auction!$C$5)+1),ROWS($A$9:A41))),"")</f>
        <v/>
      </c>
      <c r="C41" s="7">
        <f>IFERROR(T(VLOOKUP($A41,Players!$A:$E,2,FALSE)),"")</f>
        <v/>
      </c>
      <c r="D41" s="7">
        <f>IFERROR(T(VLOOKUP($A41,Players!$A:$E,3,FALSE)),"")</f>
        <v/>
      </c>
      <c r="E41" s="5">
        <f>IFERROR(T(VLOOKUP($A41,Players!$A:$E,4,FALSE)),"")</f>
        <v/>
      </c>
      <c r="F41" s="5">
        <f>IFERROR(T(VLOOKUP($A41,Players!$A:$E,5,FALSE)),"")</f>
        <v/>
      </c>
    </row>
    <row r="42">
      <c r="A42" s="8">
        <f t="array" ref="A42">IFERROR(INDEX(Auction!$A$5:$A$1000,SMALL(IF(Auction!$C$5:$C$1000=$A$1,ROW(Auction!$C$5:$C$1000)-ROW(Auction!$C$5)+1),ROWS($A$9:A42))),"")</f>
        <v/>
      </c>
      <c r="B42" s="9">
        <f t="array" ref="B42">IFERROR(INDEX(Auction!$B$5:$B$1000,SMALL(IF(Auction!$C$5:$C$1000=$A$1,ROW(Auction!$C$5:$C$1000)-ROW(Auction!$C$5)+1),ROWS($A$9:A42))),"")</f>
        <v/>
      </c>
      <c r="C42" s="10">
        <f>IFERROR(T(VLOOKUP($A42,Players!$A:$E,2,FALSE)),"")</f>
        <v/>
      </c>
      <c r="D42" s="10">
        <f>IFERROR(T(VLOOKUP($A42,Players!$A:$E,3,FALSE)),"")</f>
        <v/>
      </c>
      <c r="E42" s="8">
        <f>IFERROR(T(VLOOKUP($A42,Players!$A:$E,4,FALSE)),"")</f>
        <v/>
      </c>
      <c r="F42" s="8">
        <f>IFERROR(T(VLOOKUP($A42,Players!$A:$E,5,FALSE)),"")</f>
        <v/>
      </c>
    </row>
    <row r="43">
      <c r="A43" s="5">
        <f t="array" ref="A43">IFERROR(INDEX(Auction!$A$5:$A$1000,SMALL(IF(Auction!$C$5:$C$1000=$A$1,ROW(Auction!$C$5:$C$1000)-ROW(Auction!$C$5)+1),ROWS($A$9:A43))),"")</f>
        <v/>
      </c>
      <c r="B43" s="6">
        <f t="array" ref="B43">IFERROR(INDEX(Auction!$B$5:$B$1000,SMALL(IF(Auction!$C$5:$C$1000=$A$1,ROW(Auction!$C$5:$C$1000)-ROW(Auction!$C$5)+1),ROWS($A$9:A43))),"")</f>
        <v/>
      </c>
      <c r="C43" s="7">
        <f>IFERROR(T(VLOOKUP($A43,Players!$A:$E,2,FALSE)),"")</f>
        <v/>
      </c>
      <c r="D43" s="7">
        <f>IFERROR(T(VLOOKUP($A43,Players!$A:$E,3,FALSE)),"")</f>
        <v/>
      </c>
      <c r="E43" s="5">
        <f>IFERROR(T(VLOOKUP($A43,Players!$A:$E,4,FALSE)),"")</f>
        <v/>
      </c>
      <c r="F43" s="5">
        <f>IFERROR(T(VLOOKUP($A43,Players!$A:$E,5,FALSE)),"")</f>
        <v/>
      </c>
    </row>
    <row r="44">
      <c r="A44" s="8">
        <f t="array" ref="A44">IFERROR(INDEX(Auction!$A$5:$A$1000,SMALL(IF(Auction!$C$5:$C$1000=$A$1,ROW(Auction!$C$5:$C$1000)-ROW(Auction!$C$5)+1),ROWS($A$9:A44))),"")</f>
        <v/>
      </c>
      <c r="B44" s="9">
        <f t="array" ref="B44">IFERROR(INDEX(Auction!$B$5:$B$1000,SMALL(IF(Auction!$C$5:$C$1000=$A$1,ROW(Auction!$C$5:$C$1000)-ROW(Auction!$C$5)+1),ROWS($A$9:A44))),"")</f>
        <v/>
      </c>
      <c r="C44" s="10">
        <f>IFERROR(T(VLOOKUP($A44,Players!$A:$E,2,FALSE)),"")</f>
        <v/>
      </c>
      <c r="D44" s="10">
        <f>IFERROR(T(VLOOKUP($A44,Players!$A:$E,3,FALSE)),"")</f>
        <v/>
      </c>
      <c r="E44" s="8">
        <f>IFERROR(T(VLOOKUP($A44,Players!$A:$E,4,FALSE)),"")</f>
        <v/>
      </c>
      <c r="F44" s="8">
        <f>IFERROR(T(VLOOKUP($A44,Players!$A:$E,5,FALSE)),"")</f>
        <v/>
      </c>
    </row>
    <row r="45">
      <c r="A45" s="5">
        <f t="array" ref="A45">IFERROR(INDEX(Auction!$A$5:$A$1000,SMALL(IF(Auction!$C$5:$C$1000=$A$1,ROW(Auction!$C$5:$C$1000)-ROW(Auction!$C$5)+1),ROWS($A$9:A45))),"")</f>
        <v/>
      </c>
      <c r="B45" s="6">
        <f t="array" ref="B45">IFERROR(INDEX(Auction!$B$5:$B$1000,SMALL(IF(Auction!$C$5:$C$1000=$A$1,ROW(Auction!$C$5:$C$1000)-ROW(Auction!$C$5)+1),ROWS($A$9:A45))),"")</f>
        <v/>
      </c>
      <c r="C45" s="7">
        <f>IFERROR(T(VLOOKUP($A45,Players!$A:$E,2,FALSE)),"")</f>
        <v/>
      </c>
      <c r="D45" s="7">
        <f>IFERROR(T(VLOOKUP($A45,Players!$A:$E,3,FALSE)),"")</f>
        <v/>
      </c>
      <c r="E45" s="5">
        <f>IFERROR(T(VLOOKUP($A45,Players!$A:$E,4,FALSE)),"")</f>
        <v/>
      </c>
      <c r="F45" s="5">
        <f>IFERROR(T(VLOOKUP($A45,Players!$A:$E,5,FALSE)),"")</f>
        <v/>
      </c>
    </row>
    <row r="46">
      <c r="A46" s="8">
        <f t="array" ref="A46">IFERROR(INDEX(Auction!$A$5:$A$1000,SMALL(IF(Auction!$C$5:$C$1000=$A$1,ROW(Auction!$C$5:$C$1000)-ROW(Auction!$C$5)+1),ROWS($A$9:A46))),"")</f>
        <v/>
      </c>
      <c r="B46" s="9">
        <f t="array" ref="B46">IFERROR(INDEX(Auction!$B$5:$B$1000,SMALL(IF(Auction!$C$5:$C$1000=$A$1,ROW(Auction!$C$5:$C$1000)-ROW(Auction!$C$5)+1),ROWS($A$9:A46))),"")</f>
        <v/>
      </c>
      <c r="C46" s="10">
        <f>IFERROR(T(VLOOKUP($A46,Players!$A:$E,2,FALSE)),"")</f>
        <v/>
      </c>
      <c r="D46" s="10">
        <f>IFERROR(T(VLOOKUP($A46,Players!$A:$E,3,FALSE)),"")</f>
        <v/>
      </c>
      <c r="E46" s="8">
        <f>IFERROR(T(VLOOKUP($A46,Players!$A:$E,4,FALSE)),"")</f>
        <v/>
      </c>
      <c r="F46" s="8">
        <f>IFERROR(T(VLOOKUP($A46,Players!$A:$E,5,FALSE)),"")</f>
        <v/>
      </c>
    </row>
    <row r="47">
      <c r="A47" s="5">
        <f t="array" ref="A47">IFERROR(INDEX(Auction!$A$5:$A$1000,SMALL(IF(Auction!$C$5:$C$1000=$A$1,ROW(Auction!$C$5:$C$1000)-ROW(Auction!$C$5)+1),ROWS($A$9:A47))),"")</f>
        <v/>
      </c>
      <c r="B47" s="6">
        <f t="array" ref="B47">IFERROR(INDEX(Auction!$B$5:$B$1000,SMALL(IF(Auction!$C$5:$C$1000=$A$1,ROW(Auction!$C$5:$C$1000)-ROW(Auction!$C$5)+1),ROWS($A$9:A47))),"")</f>
        <v/>
      </c>
      <c r="C47" s="7">
        <f>IFERROR(T(VLOOKUP($A47,Players!$A:$E,2,FALSE)),"")</f>
        <v/>
      </c>
      <c r="D47" s="7">
        <f>IFERROR(T(VLOOKUP($A47,Players!$A:$E,3,FALSE)),"")</f>
        <v/>
      </c>
      <c r="E47" s="5">
        <f>IFERROR(T(VLOOKUP($A47,Players!$A:$E,4,FALSE)),"")</f>
        <v/>
      </c>
      <c r="F47" s="5">
        <f>IFERROR(T(VLOOKUP($A47,Players!$A:$E,5,FALSE)),"")</f>
        <v/>
      </c>
    </row>
    <row r="48">
      <c r="A48" s="8">
        <f t="array" ref="A48">IFERROR(INDEX(Auction!$A$5:$A$1000,SMALL(IF(Auction!$C$5:$C$1000=$A$1,ROW(Auction!$C$5:$C$1000)-ROW(Auction!$C$5)+1),ROWS($A$9:A48))),"")</f>
        <v/>
      </c>
      <c r="B48" s="9">
        <f t="array" ref="B48">IFERROR(INDEX(Auction!$B$5:$B$1000,SMALL(IF(Auction!$C$5:$C$1000=$A$1,ROW(Auction!$C$5:$C$1000)-ROW(Auction!$C$5)+1),ROWS($A$9:A48))),"")</f>
        <v/>
      </c>
      <c r="C48" s="10">
        <f>IFERROR(T(VLOOKUP($A48,Players!$A:$E,2,FALSE)),"")</f>
        <v/>
      </c>
      <c r="D48" s="10">
        <f>IFERROR(T(VLOOKUP($A48,Players!$A:$E,3,FALSE)),"")</f>
        <v/>
      </c>
      <c r="E48" s="8">
        <f>IFERROR(T(VLOOKUP($A48,Players!$A:$E,4,FALSE)),"")</f>
        <v/>
      </c>
      <c r="F48" s="8">
        <f>IFERROR(T(VLOOKUP($A48,Players!$A:$E,5,FALSE)),"")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5E8C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8" customWidth="1" min="4" max="4"/>
    <col width="14" customWidth="1" min="5" max="5"/>
    <col width="15" customWidth="1" min="6" max="6"/>
  </cols>
  <sheetData>
    <row r="1" ht="28" customHeight="1">
      <c r="A1" s="22">
        <f>Balance!A8</f>
        <v/>
      </c>
    </row>
    <row r="3">
      <c r="A3" s="23" t="inlineStr">
        <is>
          <t>Purse (Cr)</t>
        </is>
      </c>
      <c r="B3" s="24">
        <f>Balance!B8</f>
        <v/>
      </c>
    </row>
    <row r="4">
      <c r="A4" s="23" t="inlineStr">
        <is>
          <t>Spent (Cr)</t>
        </is>
      </c>
      <c r="B4" s="24">
        <f>Balance!C8</f>
        <v/>
      </c>
    </row>
    <row r="5">
      <c r="A5" s="25" t="inlineStr">
        <is>
          <t>Balance (Cr)</t>
        </is>
      </c>
      <c r="B5" s="26">
        <f>Balance!D8</f>
        <v/>
      </c>
    </row>
    <row r="6">
      <c r="A6" s="27" t="inlineStr">
        <is>
          <t>Players</t>
        </is>
      </c>
      <c r="B6" s="28">
        <f>Balance!E8</f>
        <v/>
      </c>
    </row>
    <row r="8">
      <c r="A8" s="3" t="inlineStr">
        <is>
          <t>Player</t>
        </is>
      </c>
      <c r="B8" s="3" t="inlineStr">
        <is>
          <t>Price (Cr)</t>
        </is>
      </c>
      <c r="C8" s="3" t="inlineStr">
        <is>
          <t>Role</t>
        </is>
      </c>
      <c r="D8" s="3" t="inlineStr">
        <is>
          <t>Hand</t>
        </is>
      </c>
      <c r="E8" s="3" t="inlineStr">
        <is>
          <t>Country</t>
        </is>
      </c>
      <c r="F8" s="3" t="inlineStr">
        <is>
          <t>City</t>
        </is>
      </c>
    </row>
    <row r="9">
      <c r="A9" s="5">
        <f t="array" ref="A9">IFERROR(INDEX(Auction!$A$5:$A$1000,SMALL(IF(Auction!$C$5:$C$1000=$A$1,ROW(Auction!$C$5:$C$1000)-ROW(Auction!$C$5)+1),ROWS($A$9:A9))),"")</f>
        <v/>
      </c>
      <c r="B9" s="6">
        <f t="array" ref="B9">IFERROR(INDEX(Auction!$B$5:$B$1000,SMALL(IF(Auction!$C$5:$C$1000=$A$1,ROW(Auction!$C$5:$C$1000)-ROW(Auction!$C$5)+1),ROWS($A$9:A9))),"")</f>
        <v/>
      </c>
      <c r="C9" s="7">
        <f>IFERROR(T(VLOOKUP($A9,Players!$A:$E,2,FALSE)),"")</f>
        <v/>
      </c>
      <c r="D9" s="7">
        <f>IFERROR(T(VLOOKUP($A9,Players!$A:$E,3,FALSE)),"")</f>
        <v/>
      </c>
      <c r="E9" s="5">
        <f>IFERROR(T(VLOOKUP($A9,Players!$A:$E,4,FALSE)),"")</f>
        <v/>
      </c>
      <c r="F9" s="5">
        <f>IFERROR(T(VLOOKUP($A9,Players!$A:$E,5,FALSE)),"")</f>
        <v/>
      </c>
    </row>
    <row r="10">
      <c r="A10" s="8">
        <f t="array" ref="A10">IFERROR(INDEX(Auction!$A$5:$A$1000,SMALL(IF(Auction!$C$5:$C$1000=$A$1,ROW(Auction!$C$5:$C$1000)-ROW(Auction!$C$5)+1),ROWS($A$9:A10))),"")</f>
        <v/>
      </c>
      <c r="B10" s="9">
        <f t="array" ref="B10">IFERROR(INDEX(Auction!$B$5:$B$1000,SMALL(IF(Auction!$C$5:$C$1000=$A$1,ROW(Auction!$C$5:$C$1000)-ROW(Auction!$C$5)+1),ROWS($A$9:A10))),"")</f>
        <v/>
      </c>
      <c r="C10" s="10">
        <f>IFERROR(T(VLOOKUP($A10,Players!$A:$E,2,FALSE)),"")</f>
        <v/>
      </c>
      <c r="D10" s="10">
        <f>IFERROR(T(VLOOKUP($A10,Players!$A:$E,3,FALSE)),"")</f>
        <v/>
      </c>
      <c r="E10" s="8">
        <f>IFERROR(T(VLOOKUP($A10,Players!$A:$E,4,FALSE)),"")</f>
        <v/>
      </c>
      <c r="F10" s="8">
        <f>IFERROR(T(VLOOKUP($A10,Players!$A:$E,5,FALSE)),"")</f>
        <v/>
      </c>
    </row>
    <row r="11">
      <c r="A11" s="5">
        <f t="array" ref="A11">IFERROR(INDEX(Auction!$A$5:$A$1000,SMALL(IF(Auction!$C$5:$C$1000=$A$1,ROW(Auction!$C$5:$C$1000)-ROW(Auction!$C$5)+1),ROWS($A$9:A11))),"")</f>
        <v/>
      </c>
      <c r="B11" s="6">
        <f t="array" ref="B11">IFERROR(INDEX(Auction!$B$5:$B$1000,SMALL(IF(Auction!$C$5:$C$1000=$A$1,ROW(Auction!$C$5:$C$1000)-ROW(Auction!$C$5)+1),ROWS($A$9:A11))),"")</f>
        <v/>
      </c>
      <c r="C11" s="7">
        <f>IFERROR(T(VLOOKUP($A11,Players!$A:$E,2,FALSE)),"")</f>
        <v/>
      </c>
      <c r="D11" s="7">
        <f>IFERROR(T(VLOOKUP($A11,Players!$A:$E,3,FALSE)),"")</f>
        <v/>
      </c>
      <c r="E11" s="5">
        <f>IFERROR(T(VLOOKUP($A11,Players!$A:$E,4,FALSE)),"")</f>
        <v/>
      </c>
      <c r="F11" s="5">
        <f>IFERROR(T(VLOOKUP($A11,Players!$A:$E,5,FALSE)),"")</f>
        <v/>
      </c>
    </row>
    <row r="12">
      <c r="A12" s="8">
        <f t="array" ref="A12">IFERROR(INDEX(Auction!$A$5:$A$1000,SMALL(IF(Auction!$C$5:$C$1000=$A$1,ROW(Auction!$C$5:$C$1000)-ROW(Auction!$C$5)+1),ROWS($A$9:A12))),"")</f>
        <v/>
      </c>
      <c r="B12" s="9">
        <f t="array" ref="B12">IFERROR(INDEX(Auction!$B$5:$B$1000,SMALL(IF(Auction!$C$5:$C$1000=$A$1,ROW(Auction!$C$5:$C$1000)-ROW(Auction!$C$5)+1),ROWS($A$9:A12))),"")</f>
        <v/>
      </c>
      <c r="C12" s="10">
        <f>IFERROR(T(VLOOKUP($A12,Players!$A:$E,2,FALSE)),"")</f>
        <v/>
      </c>
      <c r="D12" s="10">
        <f>IFERROR(T(VLOOKUP($A12,Players!$A:$E,3,FALSE)),"")</f>
        <v/>
      </c>
      <c r="E12" s="8">
        <f>IFERROR(T(VLOOKUP($A12,Players!$A:$E,4,FALSE)),"")</f>
        <v/>
      </c>
      <c r="F12" s="8">
        <f>IFERROR(T(VLOOKUP($A12,Players!$A:$E,5,FALSE)),"")</f>
        <v/>
      </c>
    </row>
    <row r="13">
      <c r="A13" s="5">
        <f t="array" ref="A13">IFERROR(INDEX(Auction!$A$5:$A$1000,SMALL(IF(Auction!$C$5:$C$1000=$A$1,ROW(Auction!$C$5:$C$1000)-ROW(Auction!$C$5)+1),ROWS($A$9:A13))),"")</f>
        <v/>
      </c>
      <c r="B13" s="6">
        <f t="array" ref="B13">IFERROR(INDEX(Auction!$B$5:$B$1000,SMALL(IF(Auction!$C$5:$C$1000=$A$1,ROW(Auction!$C$5:$C$1000)-ROW(Auction!$C$5)+1),ROWS($A$9:A13))),"")</f>
        <v/>
      </c>
      <c r="C13" s="7">
        <f>IFERROR(T(VLOOKUP($A13,Players!$A:$E,2,FALSE)),"")</f>
        <v/>
      </c>
      <c r="D13" s="7">
        <f>IFERROR(T(VLOOKUP($A13,Players!$A:$E,3,FALSE)),"")</f>
        <v/>
      </c>
      <c r="E13" s="5">
        <f>IFERROR(T(VLOOKUP($A13,Players!$A:$E,4,FALSE)),"")</f>
        <v/>
      </c>
      <c r="F13" s="5">
        <f>IFERROR(T(VLOOKUP($A13,Players!$A:$E,5,FALSE)),"")</f>
        <v/>
      </c>
    </row>
    <row r="14">
      <c r="A14" s="8">
        <f t="array" ref="A14">IFERROR(INDEX(Auction!$A$5:$A$1000,SMALL(IF(Auction!$C$5:$C$1000=$A$1,ROW(Auction!$C$5:$C$1000)-ROW(Auction!$C$5)+1),ROWS($A$9:A14))),"")</f>
        <v/>
      </c>
      <c r="B14" s="9">
        <f t="array" ref="B14">IFERROR(INDEX(Auction!$B$5:$B$1000,SMALL(IF(Auction!$C$5:$C$1000=$A$1,ROW(Auction!$C$5:$C$1000)-ROW(Auction!$C$5)+1),ROWS($A$9:A14))),"")</f>
        <v/>
      </c>
      <c r="C14" s="10">
        <f>IFERROR(T(VLOOKUP($A14,Players!$A:$E,2,FALSE)),"")</f>
        <v/>
      </c>
      <c r="D14" s="10">
        <f>IFERROR(T(VLOOKUP($A14,Players!$A:$E,3,FALSE)),"")</f>
        <v/>
      </c>
      <c r="E14" s="8">
        <f>IFERROR(T(VLOOKUP($A14,Players!$A:$E,4,FALSE)),"")</f>
        <v/>
      </c>
      <c r="F14" s="8">
        <f>IFERROR(T(VLOOKUP($A14,Players!$A:$E,5,FALSE)),"")</f>
        <v/>
      </c>
    </row>
    <row r="15">
      <c r="A15" s="5">
        <f t="array" ref="A15">IFERROR(INDEX(Auction!$A$5:$A$1000,SMALL(IF(Auction!$C$5:$C$1000=$A$1,ROW(Auction!$C$5:$C$1000)-ROW(Auction!$C$5)+1),ROWS($A$9:A15))),"")</f>
        <v/>
      </c>
      <c r="B15" s="6">
        <f t="array" ref="B15">IFERROR(INDEX(Auction!$B$5:$B$1000,SMALL(IF(Auction!$C$5:$C$1000=$A$1,ROW(Auction!$C$5:$C$1000)-ROW(Auction!$C$5)+1),ROWS($A$9:A15))),"")</f>
        <v/>
      </c>
      <c r="C15" s="7">
        <f>IFERROR(T(VLOOKUP($A15,Players!$A:$E,2,FALSE)),"")</f>
        <v/>
      </c>
      <c r="D15" s="7">
        <f>IFERROR(T(VLOOKUP($A15,Players!$A:$E,3,FALSE)),"")</f>
        <v/>
      </c>
      <c r="E15" s="5">
        <f>IFERROR(T(VLOOKUP($A15,Players!$A:$E,4,FALSE)),"")</f>
        <v/>
      </c>
      <c r="F15" s="5">
        <f>IFERROR(T(VLOOKUP($A15,Players!$A:$E,5,FALSE)),"")</f>
        <v/>
      </c>
    </row>
    <row r="16">
      <c r="A16" s="8">
        <f t="array" ref="A16">IFERROR(INDEX(Auction!$A$5:$A$1000,SMALL(IF(Auction!$C$5:$C$1000=$A$1,ROW(Auction!$C$5:$C$1000)-ROW(Auction!$C$5)+1),ROWS($A$9:A16))),"")</f>
        <v/>
      </c>
      <c r="B16" s="9">
        <f t="array" ref="B16">IFERROR(INDEX(Auction!$B$5:$B$1000,SMALL(IF(Auction!$C$5:$C$1000=$A$1,ROW(Auction!$C$5:$C$1000)-ROW(Auction!$C$5)+1),ROWS($A$9:A16))),"")</f>
        <v/>
      </c>
      <c r="C16" s="10">
        <f>IFERROR(T(VLOOKUP($A16,Players!$A:$E,2,FALSE)),"")</f>
        <v/>
      </c>
      <c r="D16" s="10">
        <f>IFERROR(T(VLOOKUP($A16,Players!$A:$E,3,FALSE)),"")</f>
        <v/>
      </c>
      <c r="E16" s="8">
        <f>IFERROR(T(VLOOKUP($A16,Players!$A:$E,4,FALSE)),"")</f>
        <v/>
      </c>
      <c r="F16" s="8">
        <f>IFERROR(T(VLOOKUP($A16,Players!$A:$E,5,FALSE)),"")</f>
        <v/>
      </c>
    </row>
    <row r="17">
      <c r="A17" s="5">
        <f t="array" ref="A17">IFERROR(INDEX(Auction!$A$5:$A$1000,SMALL(IF(Auction!$C$5:$C$1000=$A$1,ROW(Auction!$C$5:$C$1000)-ROW(Auction!$C$5)+1),ROWS($A$9:A17))),"")</f>
        <v/>
      </c>
      <c r="B17" s="6">
        <f t="array" ref="B17">IFERROR(INDEX(Auction!$B$5:$B$1000,SMALL(IF(Auction!$C$5:$C$1000=$A$1,ROW(Auction!$C$5:$C$1000)-ROW(Auction!$C$5)+1),ROWS($A$9:A17))),"")</f>
        <v/>
      </c>
      <c r="C17" s="7">
        <f>IFERROR(T(VLOOKUP($A17,Players!$A:$E,2,FALSE)),"")</f>
        <v/>
      </c>
      <c r="D17" s="7">
        <f>IFERROR(T(VLOOKUP($A17,Players!$A:$E,3,FALSE)),"")</f>
        <v/>
      </c>
      <c r="E17" s="5">
        <f>IFERROR(T(VLOOKUP($A17,Players!$A:$E,4,FALSE)),"")</f>
        <v/>
      </c>
      <c r="F17" s="5">
        <f>IFERROR(T(VLOOKUP($A17,Players!$A:$E,5,FALSE)),"")</f>
        <v/>
      </c>
    </row>
    <row r="18">
      <c r="A18" s="8">
        <f t="array" ref="A18">IFERROR(INDEX(Auction!$A$5:$A$1000,SMALL(IF(Auction!$C$5:$C$1000=$A$1,ROW(Auction!$C$5:$C$1000)-ROW(Auction!$C$5)+1),ROWS($A$9:A18))),"")</f>
        <v/>
      </c>
      <c r="B18" s="9">
        <f t="array" ref="B18">IFERROR(INDEX(Auction!$B$5:$B$1000,SMALL(IF(Auction!$C$5:$C$1000=$A$1,ROW(Auction!$C$5:$C$1000)-ROW(Auction!$C$5)+1),ROWS($A$9:A18))),"")</f>
        <v/>
      </c>
      <c r="C18" s="10">
        <f>IFERROR(T(VLOOKUP($A18,Players!$A:$E,2,FALSE)),"")</f>
        <v/>
      </c>
      <c r="D18" s="10">
        <f>IFERROR(T(VLOOKUP($A18,Players!$A:$E,3,FALSE)),"")</f>
        <v/>
      </c>
      <c r="E18" s="8">
        <f>IFERROR(T(VLOOKUP($A18,Players!$A:$E,4,FALSE)),"")</f>
        <v/>
      </c>
      <c r="F18" s="8">
        <f>IFERROR(T(VLOOKUP($A18,Players!$A:$E,5,FALSE)),"")</f>
        <v/>
      </c>
    </row>
    <row r="19">
      <c r="A19" s="5">
        <f t="array" ref="A19">IFERROR(INDEX(Auction!$A$5:$A$1000,SMALL(IF(Auction!$C$5:$C$1000=$A$1,ROW(Auction!$C$5:$C$1000)-ROW(Auction!$C$5)+1),ROWS($A$9:A19))),"")</f>
        <v/>
      </c>
      <c r="B19" s="6">
        <f t="array" ref="B19">IFERROR(INDEX(Auction!$B$5:$B$1000,SMALL(IF(Auction!$C$5:$C$1000=$A$1,ROW(Auction!$C$5:$C$1000)-ROW(Auction!$C$5)+1),ROWS($A$9:A19))),"")</f>
        <v/>
      </c>
      <c r="C19" s="7">
        <f>IFERROR(T(VLOOKUP($A19,Players!$A:$E,2,FALSE)),"")</f>
        <v/>
      </c>
      <c r="D19" s="7">
        <f>IFERROR(T(VLOOKUP($A19,Players!$A:$E,3,FALSE)),"")</f>
        <v/>
      </c>
      <c r="E19" s="5">
        <f>IFERROR(T(VLOOKUP($A19,Players!$A:$E,4,FALSE)),"")</f>
        <v/>
      </c>
      <c r="F19" s="5">
        <f>IFERROR(T(VLOOKUP($A19,Players!$A:$E,5,FALSE)),"")</f>
        <v/>
      </c>
    </row>
    <row r="20">
      <c r="A20" s="8">
        <f t="array" ref="A20">IFERROR(INDEX(Auction!$A$5:$A$1000,SMALL(IF(Auction!$C$5:$C$1000=$A$1,ROW(Auction!$C$5:$C$1000)-ROW(Auction!$C$5)+1),ROWS($A$9:A20))),"")</f>
        <v/>
      </c>
      <c r="B20" s="9">
        <f t="array" ref="B20">IFERROR(INDEX(Auction!$B$5:$B$1000,SMALL(IF(Auction!$C$5:$C$1000=$A$1,ROW(Auction!$C$5:$C$1000)-ROW(Auction!$C$5)+1),ROWS($A$9:A20))),"")</f>
        <v/>
      </c>
      <c r="C20" s="10">
        <f>IFERROR(T(VLOOKUP($A20,Players!$A:$E,2,FALSE)),"")</f>
        <v/>
      </c>
      <c r="D20" s="10">
        <f>IFERROR(T(VLOOKUP($A20,Players!$A:$E,3,FALSE)),"")</f>
        <v/>
      </c>
      <c r="E20" s="8">
        <f>IFERROR(T(VLOOKUP($A20,Players!$A:$E,4,FALSE)),"")</f>
        <v/>
      </c>
      <c r="F20" s="8">
        <f>IFERROR(T(VLOOKUP($A20,Players!$A:$E,5,FALSE)),"")</f>
        <v/>
      </c>
    </row>
    <row r="21">
      <c r="A21" s="5">
        <f t="array" ref="A21">IFERROR(INDEX(Auction!$A$5:$A$1000,SMALL(IF(Auction!$C$5:$C$1000=$A$1,ROW(Auction!$C$5:$C$1000)-ROW(Auction!$C$5)+1),ROWS($A$9:A21))),"")</f>
        <v/>
      </c>
      <c r="B21" s="6">
        <f t="array" ref="B21">IFERROR(INDEX(Auction!$B$5:$B$1000,SMALL(IF(Auction!$C$5:$C$1000=$A$1,ROW(Auction!$C$5:$C$1000)-ROW(Auction!$C$5)+1),ROWS($A$9:A21))),"")</f>
        <v/>
      </c>
      <c r="C21" s="7">
        <f>IFERROR(T(VLOOKUP($A21,Players!$A:$E,2,FALSE)),"")</f>
        <v/>
      </c>
      <c r="D21" s="7">
        <f>IFERROR(T(VLOOKUP($A21,Players!$A:$E,3,FALSE)),"")</f>
        <v/>
      </c>
      <c r="E21" s="5">
        <f>IFERROR(T(VLOOKUP($A21,Players!$A:$E,4,FALSE)),"")</f>
        <v/>
      </c>
      <c r="F21" s="5">
        <f>IFERROR(T(VLOOKUP($A21,Players!$A:$E,5,FALSE)),"")</f>
        <v/>
      </c>
    </row>
    <row r="22">
      <c r="A22" s="8">
        <f t="array" ref="A22">IFERROR(INDEX(Auction!$A$5:$A$1000,SMALL(IF(Auction!$C$5:$C$1000=$A$1,ROW(Auction!$C$5:$C$1000)-ROW(Auction!$C$5)+1),ROWS($A$9:A22))),"")</f>
        <v/>
      </c>
      <c r="B22" s="9">
        <f t="array" ref="B22">IFERROR(INDEX(Auction!$B$5:$B$1000,SMALL(IF(Auction!$C$5:$C$1000=$A$1,ROW(Auction!$C$5:$C$1000)-ROW(Auction!$C$5)+1),ROWS($A$9:A22))),"")</f>
        <v/>
      </c>
      <c r="C22" s="10">
        <f>IFERROR(T(VLOOKUP($A22,Players!$A:$E,2,FALSE)),"")</f>
        <v/>
      </c>
      <c r="D22" s="10">
        <f>IFERROR(T(VLOOKUP($A22,Players!$A:$E,3,FALSE)),"")</f>
        <v/>
      </c>
      <c r="E22" s="8">
        <f>IFERROR(T(VLOOKUP($A22,Players!$A:$E,4,FALSE)),"")</f>
        <v/>
      </c>
      <c r="F22" s="8">
        <f>IFERROR(T(VLOOKUP($A22,Players!$A:$E,5,FALSE)),"")</f>
        <v/>
      </c>
    </row>
    <row r="23">
      <c r="A23" s="5">
        <f t="array" ref="A23">IFERROR(INDEX(Auction!$A$5:$A$1000,SMALL(IF(Auction!$C$5:$C$1000=$A$1,ROW(Auction!$C$5:$C$1000)-ROW(Auction!$C$5)+1),ROWS($A$9:A23))),"")</f>
        <v/>
      </c>
      <c r="B23" s="6">
        <f t="array" ref="B23">IFERROR(INDEX(Auction!$B$5:$B$1000,SMALL(IF(Auction!$C$5:$C$1000=$A$1,ROW(Auction!$C$5:$C$1000)-ROW(Auction!$C$5)+1),ROWS($A$9:A23))),"")</f>
        <v/>
      </c>
      <c r="C23" s="7">
        <f>IFERROR(T(VLOOKUP($A23,Players!$A:$E,2,FALSE)),"")</f>
        <v/>
      </c>
      <c r="D23" s="7">
        <f>IFERROR(T(VLOOKUP($A23,Players!$A:$E,3,FALSE)),"")</f>
        <v/>
      </c>
      <c r="E23" s="5">
        <f>IFERROR(T(VLOOKUP($A23,Players!$A:$E,4,FALSE)),"")</f>
        <v/>
      </c>
      <c r="F23" s="5">
        <f>IFERROR(T(VLOOKUP($A23,Players!$A:$E,5,FALSE)),"")</f>
        <v/>
      </c>
    </row>
    <row r="24">
      <c r="A24" s="8">
        <f t="array" ref="A24">IFERROR(INDEX(Auction!$A$5:$A$1000,SMALL(IF(Auction!$C$5:$C$1000=$A$1,ROW(Auction!$C$5:$C$1000)-ROW(Auction!$C$5)+1),ROWS($A$9:A24))),"")</f>
        <v/>
      </c>
      <c r="B24" s="9">
        <f t="array" ref="B24">IFERROR(INDEX(Auction!$B$5:$B$1000,SMALL(IF(Auction!$C$5:$C$1000=$A$1,ROW(Auction!$C$5:$C$1000)-ROW(Auction!$C$5)+1),ROWS($A$9:A24))),"")</f>
        <v/>
      </c>
      <c r="C24" s="10">
        <f>IFERROR(T(VLOOKUP($A24,Players!$A:$E,2,FALSE)),"")</f>
        <v/>
      </c>
      <c r="D24" s="10">
        <f>IFERROR(T(VLOOKUP($A24,Players!$A:$E,3,FALSE)),"")</f>
        <v/>
      </c>
      <c r="E24" s="8">
        <f>IFERROR(T(VLOOKUP($A24,Players!$A:$E,4,FALSE)),"")</f>
        <v/>
      </c>
      <c r="F24" s="8">
        <f>IFERROR(T(VLOOKUP($A24,Players!$A:$E,5,FALSE)),"")</f>
        <v/>
      </c>
    </row>
    <row r="25">
      <c r="A25" s="5">
        <f t="array" ref="A25">IFERROR(INDEX(Auction!$A$5:$A$1000,SMALL(IF(Auction!$C$5:$C$1000=$A$1,ROW(Auction!$C$5:$C$1000)-ROW(Auction!$C$5)+1),ROWS($A$9:A25))),"")</f>
        <v/>
      </c>
      <c r="B25" s="6">
        <f t="array" ref="B25">IFERROR(INDEX(Auction!$B$5:$B$1000,SMALL(IF(Auction!$C$5:$C$1000=$A$1,ROW(Auction!$C$5:$C$1000)-ROW(Auction!$C$5)+1),ROWS($A$9:A25))),"")</f>
        <v/>
      </c>
      <c r="C25" s="7">
        <f>IFERROR(T(VLOOKUP($A25,Players!$A:$E,2,FALSE)),"")</f>
        <v/>
      </c>
      <c r="D25" s="7">
        <f>IFERROR(T(VLOOKUP($A25,Players!$A:$E,3,FALSE)),"")</f>
        <v/>
      </c>
      <c r="E25" s="5">
        <f>IFERROR(T(VLOOKUP($A25,Players!$A:$E,4,FALSE)),"")</f>
        <v/>
      </c>
      <c r="F25" s="5">
        <f>IFERROR(T(VLOOKUP($A25,Players!$A:$E,5,FALSE)),"")</f>
        <v/>
      </c>
    </row>
    <row r="26">
      <c r="A26" s="8">
        <f t="array" ref="A26">IFERROR(INDEX(Auction!$A$5:$A$1000,SMALL(IF(Auction!$C$5:$C$1000=$A$1,ROW(Auction!$C$5:$C$1000)-ROW(Auction!$C$5)+1),ROWS($A$9:A26))),"")</f>
        <v/>
      </c>
      <c r="B26" s="9">
        <f t="array" ref="B26">IFERROR(INDEX(Auction!$B$5:$B$1000,SMALL(IF(Auction!$C$5:$C$1000=$A$1,ROW(Auction!$C$5:$C$1000)-ROW(Auction!$C$5)+1),ROWS($A$9:A26))),"")</f>
        <v/>
      </c>
      <c r="C26" s="10">
        <f>IFERROR(T(VLOOKUP($A26,Players!$A:$E,2,FALSE)),"")</f>
        <v/>
      </c>
      <c r="D26" s="10">
        <f>IFERROR(T(VLOOKUP($A26,Players!$A:$E,3,FALSE)),"")</f>
        <v/>
      </c>
      <c r="E26" s="8">
        <f>IFERROR(T(VLOOKUP($A26,Players!$A:$E,4,FALSE)),"")</f>
        <v/>
      </c>
      <c r="F26" s="8">
        <f>IFERROR(T(VLOOKUP($A26,Players!$A:$E,5,FALSE)),"")</f>
        <v/>
      </c>
    </row>
    <row r="27">
      <c r="A27" s="5">
        <f t="array" ref="A27">IFERROR(INDEX(Auction!$A$5:$A$1000,SMALL(IF(Auction!$C$5:$C$1000=$A$1,ROW(Auction!$C$5:$C$1000)-ROW(Auction!$C$5)+1),ROWS($A$9:A27))),"")</f>
        <v/>
      </c>
      <c r="B27" s="6">
        <f t="array" ref="B27">IFERROR(INDEX(Auction!$B$5:$B$1000,SMALL(IF(Auction!$C$5:$C$1000=$A$1,ROW(Auction!$C$5:$C$1000)-ROW(Auction!$C$5)+1),ROWS($A$9:A27))),"")</f>
        <v/>
      </c>
      <c r="C27" s="7">
        <f>IFERROR(T(VLOOKUP($A27,Players!$A:$E,2,FALSE)),"")</f>
        <v/>
      </c>
      <c r="D27" s="7">
        <f>IFERROR(T(VLOOKUP($A27,Players!$A:$E,3,FALSE)),"")</f>
        <v/>
      </c>
      <c r="E27" s="5">
        <f>IFERROR(T(VLOOKUP($A27,Players!$A:$E,4,FALSE)),"")</f>
        <v/>
      </c>
      <c r="F27" s="5">
        <f>IFERROR(T(VLOOKUP($A27,Players!$A:$E,5,FALSE)),"")</f>
        <v/>
      </c>
    </row>
    <row r="28">
      <c r="A28" s="8">
        <f t="array" ref="A28">IFERROR(INDEX(Auction!$A$5:$A$1000,SMALL(IF(Auction!$C$5:$C$1000=$A$1,ROW(Auction!$C$5:$C$1000)-ROW(Auction!$C$5)+1),ROWS($A$9:A28))),"")</f>
        <v/>
      </c>
      <c r="B28" s="9">
        <f t="array" ref="B28">IFERROR(INDEX(Auction!$B$5:$B$1000,SMALL(IF(Auction!$C$5:$C$1000=$A$1,ROW(Auction!$C$5:$C$1000)-ROW(Auction!$C$5)+1),ROWS($A$9:A28))),"")</f>
        <v/>
      </c>
      <c r="C28" s="10">
        <f>IFERROR(T(VLOOKUP($A28,Players!$A:$E,2,FALSE)),"")</f>
        <v/>
      </c>
      <c r="D28" s="10">
        <f>IFERROR(T(VLOOKUP($A28,Players!$A:$E,3,FALSE)),"")</f>
        <v/>
      </c>
      <c r="E28" s="8">
        <f>IFERROR(T(VLOOKUP($A28,Players!$A:$E,4,FALSE)),"")</f>
        <v/>
      </c>
      <c r="F28" s="8">
        <f>IFERROR(T(VLOOKUP($A28,Players!$A:$E,5,FALSE)),"")</f>
        <v/>
      </c>
    </row>
    <row r="29">
      <c r="A29" s="5">
        <f t="array" ref="A29">IFERROR(INDEX(Auction!$A$5:$A$1000,SMALL(IF(Auction!$C$5:$C$1000=$A$1,ROW(Auction!$C$5:$C$1000)-ROW(Auction!$C$5)+1),ROWS($A$9:A29))),"")</f>
        <v/>
      </c>
      <c r="B29" s="6">
        <f t="array" ref="B29">IFERROR(INDEX(Auction!$B$5:$B$1000,SMALL(IF(Auction!$C$5:$C$1000=$A$1,ROW(Auction!$C$5:$C$1000)-ROW(Auction!$C$5)+1),ROWS($A$9:A29))),"")</f>
        <v/>
      </c>
      <c r="C29" s="7">
        <f>IFERROR(T(VLOOKUP($A29,Players!$A:$E,2,FALSE)),"")</f>
        <v/>
      </c>
      <c r="D29" s="7">
        <f>IFERROR(T(VLOOKUP($A29,Players!$A:$E,3,FALSE)),"")</f>
        <v/>
      </c>
      <c r="E29" s="5">
        <f>IFERROR(T(VLOOKUP($A29,Players!$A:$E,4,FALSE)),"")</f>
        <v/>
      </c>
      <c r="F29" s="5">
        <f>IFERROR(T(VLOOKUP($A29,Players!$A:$E,5,FALSE)),"")</f>
        <v/>
      </c>
    </row>
    <row r="30">
      <c r="A30" s="8">
        <f t="array" ref="A30">IFERROR(INDEX(Auction!$A$5:$A$1000,SMALL(IF(Auction!$C$5:$C$1000=$A$1,ROW(Auction!$C$5:$C$1000)-ROW(Auction!$C$5)+1),ROWS($A$9:A30))),"")</f>
        <v/>
      </c>
      <c r="B30" s="9">
        <f t="array" ref="B30">IFERROR(INDEX(Auction!$B$5:$B$1000,SMALL(IF(Auction!$C$5:$C$1000=$A$1,ROW(Auction!$C$5:$C$1000)-ROW(Auction!$C$5)+1),ROWS($A$9:A30))),"")</f>
        <v/>
      </c>
      <c r="C30" s="10">
        <f>IFERROR(T(VLOOKUP($A30,Players!$A:$E,2,FALSE)),"")</f>
        <v/>
      </c>
      <c r="D30" s="10">
        <f>IFERROR(T(VLOOKUP($A30,Players!$A:$E,3,FALSE)),"")</f>
        <v/>
      </c>
      <c r="E30" s="8">
        <f>IFERROR(T(VLOOKUP($A30,Players!$A:$E,4,FALSE)),"")</f>
        <v/>
      </c>
      <c r="F30" s="8">
        <f>IFERROR(T(VLOOKUP($A30,Players!$A:$E,5,FALSE)),"")</f>
        <v/>
      </c>
    </row>
    <row r="31">
      <c r="A31" s="5">
        <f t="array" ref="A31">IFERROR(INDEX(Auction!$A$5:$A$1000,SMALL(IF(Auction!$C$5:$C$1000=$A$1,ROW(Auction!$C$5:$C$1000)-ROW(Auction!$C$5)+1),ROWS($A$9:A31))),"")</f>
        <v/>
      </c>
      <c r="B31" s="6">
        <f t="array" ref="B31">IFERROR(INDEX(Auction!$B$5:$B$1000,SMALL(IF(Auction!$C$5:$C$1000=$A$1,ROW(Auction!$C$5:$C$1000)-ROW(Auction!$C$5)+1),ROWS($A$9:A31))),"")</f>
        <v/>
      </c>
      <c r="C31" s="7">
        <f>IFERROR(T(VLOOKUP($A31,Players!$A:$E,2,FALSE)),"")</f>
        <v/>
      </c>
      <c r="D31" s="7">
        <f>IFERROR(T(VLOOKUP($A31,Players!$A:$E,3,FALSE)),"")</f>
        <v/>
      </c>
      <c r="E31" s="5">
        <f>IFERROR(T(VLOOKUP($A31,Players!$A:$E,4,FALSE)),"")</f>
        <v/>
      </c>
      <c r="F31" s="5">
        <f>IFERROR(T(VLOOKUP($A31,Players!$A:$E,5,FALSE)),"")</f>
        <v/>
      </c>
    </row>
    <row r="32">
      <c r="A32" s="8">
        <f t="array" ref="A32">IFERROR(INDEX(Auction!$A$5:$A$1000,SMALL(IF(Auction!$C$5:$C$1000=$A$1,ROW(Auction!$C$5:$C$1000)-ROW(Auction!$C$5)+1),ROWS($A$9:A32))),"")</f>
        <v/>
      </c>
      <c r="B32" s="9">
        <f t="array" ref="B32">IFERROR(INDEX(Auction!$B$5:$B$1000,SMALL(IF(Auction!$C$5:$C$1000=$A$1,ROW(Auction!$C$5:$C$1000)-ROW(Auction!$C$5)+1),ROWS($A$9:A32))),"")</f>
        <v/>
      </c>
      <c r="C32" s="10">
        <f>IFERROR(T(VLOOKUP($A32,Players!$A:$E,2,FALSE)),"")</f>
        <v/>
      </c>
      <c r="D32" s="10">
        <f>IFERROR(T(VLOOKUP($A32,Players!$A:$E,3,FALSE)),"")</f>
        <v/>
      </c>
      <c r="E32" s="8">
        <f>IFERROR(T(VLOOKUP($A32,Players!$A:$E,4,FALSE)),"")</f>
        <v/>
      </c>
      <c r="F32" s="8">
        <f>IFERROR(T(VLOOKUP($A32,Players!$A:$E,5,FALSE)),"")</f>
        <v/>
      </c>
    </row>
    <row r="33">
      <c r="A33" s="5">
        <f t="array" ref="A33">IFERROR(INDEX(Auction!$A$5:$A$1000,SMALL(IF(Auction!$C$5:$C$1000=$A$1,ROW(Auction!$C$5:$C$1000)-ROW(Auction!$C$5)+1),ROWS($A$9:A33))),"")</f>
        <v/>
      </c>
      <c r="B33" s="6">
        <f t="array" ref="B33">IFERROR(INDEX(Auction!$B$5:$B$1000,SMALL(IF(Auction!$C$5:$C$1000=$A$1,ROW(Auction!$C$5:$C$1000)-ROW(Auction!$C$5)+1),ROWS($A$9:A33))),"")</f>
        <v/>
      </c>
      <c r="C33" s="7">
        <f>IFERROR(T(VLOOKUP($A33,Players!$A:$E,2,FALSE)),"")</f>
        <v/>
      </c>
      <c r="D33" s="7">
        <f>IFERROR(T(VLOOKUP($A33,Players!$A:$E,3,FALSE)),"")</f>
        <v/>
      </c>
      <c r="E33" s="5">
        <f>IFERROR(T(VLOOKUP($A33,Players!$A:$E,4,FALSE)),"")</f>
        <v/>
      </c>
      <c r="F33" s="5">
        <f>IFERROR(T(VLOOKUP($A33,Players!$A:$E,5,FALSE)),"")</f>
        <v/>
      </c>
    </row>
    <row r="34">
      <c r="A34" s="8">
        <f t="array" ref="A34">IFERROR(INDEX(Auction!$A$5:$A$1000,SMALL(IF(Auction!$C$5:$C$1000=$A$1,ROW(Auction!$C$5:$C$1000)-ROW(Auction!$C$5)+1),ROWS($A$9:A34))),"")</f>
        <v/>
      </c>
      <c r="B34" s="9">
        <f t="array" ref="B34">IFERROR(INDEX(Auction!$B$5:$B$1000,SMALL(IF(Auction!$C$5:$C$1000=$A$1,ROW(Auction!$C$5:$C$1000)-ROW(Auction!$C$5)+1),ROWS($A$9:A34))),"")</f>
        <v/>
      </c>
      <c r="C34" s="10">
        <f>IFERROR(T(VLOOKUP($A34,Players!$A:$E,2,FALSE)),"")</f>
        <v/>
      </c>
      <c r="D34" s="10">
        <f>IFERROR(T(VLOOKUP($A34,Players!$A:$E,3,FALSE)),"")</f>
        <v/>
      </c>
      <c r="E34" s="8">
        <f>IFERROR(T(VLOOKUP($A34,Players!$A:$E,4,FALSE)),"")</f>
        <v/>
      </c>
      <c r="F34" s="8">
        <f>IFERROR(T(VLOOKUP($A34,Players!$A:$E,5,FALSE)),"")</f>
        <v/>
      </c>
    </row>
    <row r="35">
      <c r="A35" s="5">
        <f t="array" ref="A35">IFERROR(INDEX(Auction!$A$5:$A$1000,SMALL(IF(Auction!$C$5:$C$1000=$A$1,ROW(Auction!$C$5:$C$1000)-ROW(Auction!$C$5)+1),ROWS($A$9:A35))),"")</f>
        <v/>
      </c>
      <c r="B35" s="6">
        <f t="array" ref="B35">IFERROR(INDEX(Auction!$B$5:$B$1000,SMALL(IF(Auction!$C$5:$C$1000=$A$1,ROW(Auction!$C$5:$C$1000)-ROW(Auction!$C$5)+1),ROWS($A$9:A35))),"")</f>
        <v/>
      </c>
      <c r="C35" s="7">
        <f>IFERROR(T(VLOOKUP($A35,Players!$A:$E,2,FALSE)),"")</f>
        <v/>
      </c>
      <c r="D35" s="7">
        <f>IFERROR(T(VLOOKUP($A35,Players!$A:$E,3,FALSE)),"")</f>
        <v/>
      </c>
      <c r="E35" s="5">
        <f>IFERROR(T(VLOOKUP($A35,Players!$A:$E,4,FALSE)),"")</f>
        <v/>
      </c>
      <c r="F35" s="5">
        <f>IFERROR(T(VLOOKUP($A35,Players!$A:$E,5,FALSE)),"")</f>
        <v/>
      </c>
    </row>
    <row r="36">
      <c r="A36" s="8">
        <f t="array" ref="A36">IFERROR(INDEX(Auction!$A$5:$A$1000,SMALL(IF(Auction!$C$5:$C$1000=$A$1,ROW(Auction!$C$5:$C$1000)-ROW(Auction!$C$5)+1),ROWS($A$9:A36))),"")</f>
        <v/>
      </c>
      <c r="B36" s="9">
        <f t="array" ref="B36">IFERROR(INDEX(Auction!$B$5:$B$1000,SMALL(IF(Auction!$C$5:$C$1000=$A$1,ROW(Auction!$C$5:$C$1000)-ROW(Auction!$C$5)+1),ROWS($A$9:A36))),"")</f>
        <v/>
      </c>
      <c r="C36" s="10">
        <f>IFERROR(T(VLOOKUP($A36,Players!$A:$E,2,FALSE)),"")</f>
        <v/>
      </c>
      <c r="D36" s="10">
        <f>IFERROR(T(VLOOKUP($A36,Players!$A:$E,3,FALSE)),"")</f>
        <v/>
      </c>
      <c r="E36" s="8">
        <f>IFERROR(T(VLOOKUP($A36,Players!$A:$E,4,FALSE)),"")</f>
        <v/>
      </c>
      <c r="F36" s="8">
        <f>IFERROR(T(VLOOKUP($A36,Players!$A:$E,5,FALSE)),"")</f>
        <v/>
      </c>
    </row>
    <row r="37">
      <c r="A37" s="5">
        <f t="array" ref="A37">IFERROR(INDEX(Auction!$A$5:$A$1000,SMALL(IF(Auction!$C$5:$C$1000=$A$1,ROW(Auction!$C$5:$C$1000)-ROW(Auction!$C$5)+1),ROWS($A$9:A37))),"")</f>
        <v/>
      </c>
      <c r="B37" s="6">
        <f t="array" ref="B37">IFERROR(INDEX(Auction!$B$5:$B$1000,SMALL(IF(Auction!$C$5:$C$1000=$A$1,ROW(Auction!$C$5:$C$1000)-ROW(Auction!$C$5)+1),ROWS($A$9:A37))),"")</f>
        <v/>
      </c>
      <c r="C37" s="7">
        <f>IFERROR(T(VLOOKUP($A37,Players!$A:$E,2,FALSE)),"")</f>
        <v/>
      </c>
      <c r="D37" s="7">
        <f>IFERROR(T(VLOOKUP($A37,Players!$A:$E,3,FALSE)),"")</f>
        <v/>
      </c>
      <c r="E37" s="5">
        <f>IFERROR(T(VLOOKUP($A37,Players!$A:$E,4,FALSE)),"")</f>
        <v/>
      </c>
      <c r="F37" s="5">
        <f>IFERROR(T(VLOOKUP($A37,Players!$A:$E,5,FALSE)),"")</f>
        <v/>
      </c>
    </row>
    <row r="38">
      <c r="A38" s="8">
        <f t="array" ref="A38">IFERROR(INDEX(Auction!$A$5:$A$1000,SMALL(IF(Auction!$C$5:$C$1000=$A$1,ROW(Auction!$C$5:$C$1000)-ROW(Auction!$C$5)+1),ROWS($A$9:A38))),"")</f>
        <v/>
      </c>
      <c r="B38" s="9">
        <f t="array" ref="B38">IFERROR(INDEX(Auction!$B$5:$B$1000,SMALL(IF(Auction!$C$5:$C$1000=$A$1,ROW(Auction!$C$5:$C$1000)-ROW(Auction!$C$5)+1),ROWS($A$9:A38))),"")</f>
        <v/>
      </c>
      <c r="C38" s="10">
        <f>IFERROR(T(VLOOKUP($A38,Players!$A:$E,2,FALSE)),"")</f>
        <v/>
      </c>
      <c r="D38" s="10">
        <f>IFERROR(T(VLOOKUP($A38,Players!$A:$E,3,FALSE)),"")</f>
        <v/>
      </c>
      <c r="E38" s="8">
        <f>IFERROR(T(VLOOKUP($A38,Players!$A:$E,4,FALSE)),"")</f>
        <v/>
      </c>
      <c r="F38" s="8">
        <f>IFERROR(T(VLOOKUP($A38,Players!$A:$E,5,FALSE)),"")</f>
        <v/>
      </c>
    </row>
    <row r="39">
      <c r="A39" s="5">
        <f t="array" ref="A39">IFERROR(INDEX(Auction!$A$5:$A$1000,SMALL(IF(Auction!$C$5:$C$1000=$A$1,ROW(Auction!$C$5:$C$1000)-ROW(Auction!$C$5)+1),ROWS($A$9:A39))),"")</f>
        <v/>
      </c>
      <c r="B39" s="6">
        <f t="array" ref="B39">IFERROR(INDEX(Auction!$B$5:$B$1000,SMALL(IF(Auction!$C$5:$C$1000=$A$1,ROW(Auction!$C$5:$C$1000)-ROW(Auction!$C$5)+1),ROWS($A$9:A39))),"")</f>
        <v/>
      </c>
      <c r="C39" s="7">
        <f>IFERROR(T(VLOOKUP($A39,Players!$A:$E,2,FALSE)),"")</f>
        <v/>
      </c>
      <c r="D39" s="7">
        <f>IFERROR(T(VLOOKUP($A39,Players!$A:$E,3,FALSE)),"")</f>
        <v/>
      </c>
      <c r="E39" s="5">
        <f>IFERROR(T(VLOOKUP($A39,Players!$A:$E,4,FALSE)),"")</f>
        <v/>
      </c>
      <c r="F39" s="5">
        <f>IFERROR(T(VLOOKUP($A39,Players!$A:$E,5,FALSE)),"")</f>
        <v/>
      </c>
    </row>
    <row r="40">
      <c r="A40" s="8">
        <f t="array" ref="A40">IFERROR(INDEX(Auction!$A$5:$A$1000,SMALL(IF(Auction!$C$5:$C$1000=$A$1,ROW(Auction!$C$5:$C$1000)-ROW(Auction!$C$5)+1),ROWS($A$9:A40))),"")</f>
        <v/>
      </c>
      <c r="B40" s="9">
        <f t="array" ref="B40">IFERROR(INDEX(Auction!$B$5:$B$1000,SMALL(IF(Auction!$C$5:$C$1000=$A$1,ROW(Auction!$C$5:$C$1000)-ROW(Auction!$C$5)+1),ROWS($A$9:A40))),"")</f>
        <v/>
      </c>
      <c r="C40" s="10">
        <f>IFERROR(T(VLOOKUP($A40,Players!$A:$E,2,FALSE)),"")</f>
        <v/>
      </c>
      <c r="D40" s="10">
        <f>IFERROR(T(VLOOKUP($A40,Players!$A:$E,3,FALSE)),"")</f>
        <v/>
      </c>
      <c r="E40" s="8">
        <f>IFERROR(T(VLOOKUP($A40,Players!$A:$E,4,FALSE)),"")</f>
        <v/>
      </c>
      <c r="F40" s="8">
        <f>IFERROR(T(VLOOKUP($A40,Players!$A:$E,5,FALSE)),"")</f>
        <v/>
      </c>
    </row>
    <row r="41">
      <c r="A41" s="5">
        <f t="array" ref="A41">IFERROR(INDEX(Auction!$A$5:$A$1000,SMALL(IF(Auction!$C$5:$C$1000=$A$1,ROW(Auction!$C$5:$C$1000)-ROW(Auction!$C$5)+1),ROWS($A$9:A41))),"")</f>
        <v/>
      </c>
      <c r="B41" s="6">
        <f t="array" ref="B41">IFERROR(INDEX(Auction!$B$5:$B$1000,SMALL(IF(Auction!$C$5:$C$1000=$A$1,ROW(Auction!$C$5:$C$1000)-ROW(Auction!$C$5)+1),ROWS($A$9:A41))),"")</f>
        <v/>
      </c>
      <c r="C41" s="7">
        <f>IFERROR(T(VLOOKUP($A41,Players!$A:$E,2,FALSE)),"")</f>
        <v/>
      </c>
      <c r="D41" s="7">
        <f>IFERROR(T(VLOOKUP($A41,Players!$A:$E,3,FALSE)),"")</f>
        <v/>
      </c>
      <c r="E41" s="5">
        <f>IFERROR(T(VLOOKUP($A41,Players!$A:$E,4,FALSE)),"")</f>
        <v/>
      </c>
      <c r="F41" s="5">
        <f>IFERROR(T(VLOOKUP($A41,Players!$A:$E,5,FALSE)),"")</f>
        <v/>
      </c>
    </row>
    <row r="42">
      <c r="A42" s="8">
        <f t="array" ref="A42">IFERROR(INDEX(Auction!$A$5:$A$1000,SMALL(IF(Auction!$C$5:$C$1000=$A$1,ROW(Auction!$C$5:$C$1000)-ROW(Auction!$C$5)+1),ROWS($A$9:A42))),"")</f>
        <v/>
      </c>
      <c r="B42" s="9">
        <f t="array" ref="B42">IFERROR(INDEX(Auction!$B$5:$B$1000,SMALL(IF(Auction!$C$5:$C$1000=$A$1,ROW(Auction!$C$5:$C$1000)-ROW(Auction!$C$5)+1),ROWS($A$9:A42))),"")</f>
        <v/>
      </c>
      <c r="C42" s="10">
        <f>IFERROR(T(VLOOKUP($A42,Players!$A:$E,2,FALSE)),"")</f>
        <v/>
      </c>
      <c r="D42" s="10">
        <f>IFERROR(T(VLOOKUP($A42,Players!$A:$E,3,FALSE)),"")</f>
        <v/>
      </c>
      <c r="E42" s="8">
        <f>IFERROR(T(VLOOKUP($A42,Players!$A:$E,4,FALSE)),"")</f>
        <v/>
      </c>
      <c r="F42" s="8">
        <f>IFERROR(T(VLOOKUP($A42,Players!$A:$E,5,FALSE)),"")</f>
        <v/>
      </c>
    </row>
    <row r="43">
      <c r="A43" s="5">
        <f t="array" ref="A43">IFERROR(INDEX(Auction!$A$5:$A$1000,SMALL(IF(Auction!$C$5:$C$1000=$A$1,ROW(Auction!$C$5:$C$1000)-ROW(Auction!$C$5)+1),ROWS($A$9:A43))),"")</f>
        <v/>
      </c>
      <c r="B43" s="6">
        <f t="array" ref="B43">IFERROR(INDEX(Auction!$B$5:$B$1000,SMALL(IF(Auction!$C$5:$C$1000=$A$1,ROW(Auction!$C$5:$C$1000)-ROW(Auction!$C$5)+1),ROWS($A$9:A43))),"")</f>
        <v/>
      </c>
      <c r="C43" s="7">
        <f>IFERROR(T(VLOOKUP($A43,Players!$A:$E,2,FALSE)),"")</f>
        <v/>
      </c>
      <c r="D43" s="7">
        <f>IFERROR(T(VLOOKUP($A43,Players!$A:$E,3,FALSE)),"")</f>
        <v/>
      </c>
      <c r="E43" s="5">
        <f>IFERROR(T(VLOOKUP($A43,Players!$A:$E,4,FALSE)),"")</f>
        <v/>
      </c>
      <c r="F43" s="5">
        <f>IFERROR(T(VLOOKUP($A43,Players!$A:$E,5,FALSE)),"")</f>
        <v/>
      </c>
    </row>
    <row r="44">
      <c r="A44" s="8">
        <f t="array" ref="A44">IFERROR(INDEX(Auction!$A$5:$A$1000,SMALL(IF(Auction!$C$5:$C$1000=$A$1,ROW(Auction!$C$5:$C$1000)-ROW(Auction!$C$5)+1),ROWS($A$9:A44))),"")</f>
        <v/>
      </c>
      <c r="B44" s="9">
        <f t="array" ref="B44">IFERROR(INDEX(Auction!$B$5:$B$1000,SMALL(IF(Auction!$C$5:$C$1000=$A$1,ROW(Auction!$C$5:$C$1000)-ROW(Auction!$C$5)+1),ROWS($A$9:A44))),"")</f>
        <v/>
      </c>
      <c r="C44" s="10">
        <f>IFERROR(T(VLOOKUP($A44,Players!$A:$E,2,FALSE)),"")</f>
        <v/>
      </c>
      <c r="D44" s="10">
        <f>IFERROR(T(VLOOKUP($A44,Players!$A:$E,3,FALSE)),"")</f>
        <v/>
      </c>
      <c r="E44" s="8">
        <f>IFERROR(T(VLOOKUP($A44,Players!$A:$E,4,FALSE)),"")</f>
        <v/>
      </c>
      <c r="F44" s="8">
        <f>IFERROR(T(VLOOKUP($A44,Players!$A:$E,5,FALSE)),"")</f>
        <v/>
      </c>
    </row>
    <row r="45">
      <c r="A45" s="5">
        <f t="array" ref="A45">IFERROR(INDEX(Auction!$A$5:$A$1000,SMALL(IF(Auction!$C$5:$C$1000=$A$1,ROW(Auction!$C$5:$C$1000)-ROW(Auction!$C$5)+1),ROWS($A$9:A45))),"")</f>
        <v/>
      </c>
      <c r="B45" s="6">
        <f t="array" ref="B45">IFERROR(INDEX(Auction!$B$5:$B$1000,SMALL(IF(Auction!$C$5:$C$1000=$A$1,ROW(Auction!$C$5:$C$1000)-ROW(Auction!$C$5)+1),ROWS($A$9:A45))),"")</f>
        <v/>
      </c>
      <c r="C45" s="7">
        <f>IFERROR(T(VLOOKUP($A45,Players!$A:$E,2,FALSE)),"")</f>
        <v/>
      </c>
      <c r="D45" s="7">
        <f>IFERROR(T(VLOOKUP($A45,Players!$A:$E,3,FALSE)),"")</f>
        <v/>
      </c>
      <c r="E45" s="5">
        <f>IFERROR(T(VLOOKUP($A45,Players!$A:$E,4,FALSE)),"")</f>
        <v/>
      </c>
      <c r="F45" s="5">
        <f>IFERROR(T(VLOOKUP($A45,Players!$A:$E,5,FALSE)),"")</f>
        <v/>
      </c>
    </row>
    <row r="46">
      <c r="A46" s="8">
        <f t="array" ref="A46">IFERROR(INDEX(Auction!$A$5:$A$1000,SMALL(IF(Auction!$C$5:$C$1000=$A$1,ROW(Auction!$C$5:$C$1000)-ROW(Auction!$C$5)+1),ROWS($A$9:A46))),"")</f>
        <v/>
      </c>
      <c r="B46" s="9">
        <f t="array" ref="B46">IFERROR(INDEX(Auction!$B$5:$B$1000,SMALL(IF(Auction!$C$5:$C$1000=$A$1,ROW(Auction!$C$5:$C$1000)-ROW(Auction!$C$5)+1),ROWS($A$9:A46))),"")</f>
        <v/>
      </c>
      <c r="C46" s="10">
        <f>IFERROR(T(VLOOKUP($A46,Players!$A:$E,2,FALSE)),"")</f>
        <v/>
      </c>
      <c r="D46" s="10">
        <f>IFERROR(T(VLOOKUP($A46,Players!$A:$E,3,FALSE)),"")</f>
        <v/>
      </c>
      <c r="E46" s="8">
        <f>IFERROR(T(VLOOKUP($A46,Players!$A:$E,4,FALSE)),"")</f>
        <v/>
      </c>
      <c r="F46" s="8">
        <f>IFERROR(T(VLOOKUP($A46,Players!$A:$E,5,FALSE)),"")</f>
        <v/>
      </c>
    </row>
    <row r="47">
      <c r="A47" s="5">
        <f t="array" ref="A47">IFERROR(INDEX(Auction!$A$5:$A$1000,SMALL(IF(Auction!$C$5:$C$1000=$A$1,ROW(Auction!$C$5:$C$1000)-ROW(Auction!$C$5)+1),ROWS($A$9:A47))),"")</f>
        <v/>
      </c>
      <c r="B47" s="6">
        <f t="array" ref="B47">IFERROR(INDEX(Auction!$B$5:$B$1000,SMALL(IF(Auction!$C$5:$C$1000=$A$1,ROW(Auction!$C$5:$C$1000)-ROW(Auction!$C$5)+1),ROWS($A$9:A47))),"")</f>
        <v/>
      </c>
      <c r="C47" s="7">
        <f>IFERROR(T(VLOOKUP($A47,Players!$A:$E,2,FALSE)),"")</f>
        <v/>
      </c>
      <c r="D47" s="7">
        <f>IFERROR(T(VLOOKUP($A47,Players!$A:$E,3,FALSE)),"")</f>
        <v/>
      </c>
      <c r="E47" s="5">
        <f>IFERROR(T(VLOOKUP($A47,Players!$A:$E,4,FALSE)),"")</f>
        <v/>
      </c>
      <c r="F47" s="5">
        <f>IFERROR(T(VLOOKUP($A47,Players!$A:$E,5,FALSE)),"")</f>
        <v/>
      </c>
    </row>
    <row r="48">
      <c r="A48" s="8">
        <f t="array" ref="A48">IFERROR(INDEX(Auction!$A$5:$A$1000,SMALL(IF(Auction!$C$5:$C$1000=$A$1,ROW(Auction!$C$5:$C$1000)-ROW(Auction!$C$5)+1),ROWS($A$9:A48))),"")</f>
        <v/>
      </c>
      <c r="B48" s="9">
        <f t="array" ref="B48">IFERROR(INDEX(Auction!$B$5:$B$1000,SMALL(IF(Auction!$C$5:$C$1000=$A$1,ROW(Auction!$C$5:$C$1000)-ROW(Auction!$C$5)+1),ROWS($A$9:A48))),"")</f>
        <v/>
      </c>
      <c r="C48" s="10">
        <f>IFERROR(T(VLOOKUP($A48,Players!$A:$E,2,FALSE)),"")</f>
        <v/>
      </c>
      <c r="D48" s="10">
        <f>IFERROR(T(VLOOKUP($A48,Players!$A:$E,3,FALSE)),"")</f>
        <v/>
      </c>
      <c r="E48" s="8">
        <f>IFERROR(T(VLOOKUP($A48,Players!$A:$E,4,FALSE)),"")</f>
        <v/>
      </c>
      <c r="F48" s="8">
        <f>IFERROR(T(VLOOKUP($A48,Players!$A:$E,5,FALSE)),"")</f>
        <v/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5E8C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8" customWidth="1" min="4" max="4"/>
    <col width="14" customWidth="1" min="5" max="5"/>
    <col width="15" customWidth="1" min="6" max="6"/>
  </cols>
  <sheetData>
    <row r="1" ht="28" customHeight="1">
      <c r="A1" s="22">
        <f>Balance!A9</f>
        <v/>
      </c>
    </row>
    <row r="3">
      <c r="A3" s="23" t="inlineStr">
        <is>
          <t>Purse (Cr)</t>
        </is>
      </c>
      <c r="B3" s="24">
        <f>Balance!B9</f>
        <v/>
      </c>
    </row>
    <row r="4">
      <c r="A4" s="23" t="inlineStr">
        <is>
          <t>Spent (Cr)</t>
        </is>
      </c>
      <c r="B4" s="24">
        <f>Balance!C9</f>
        <v/>
      </c>
    </row>
    <row r="5">
      <c r="A5" s="25" t="inlineStr">
        <is>
          <t>Balance (Cr)</t>
        </is>
      </c>
      <c r="B5" s="26">
        <f>Balance!D9</f>
        <v/>
      </c>
    </row>
    <row r="6">
      <c r="A6" s="27" t="inlineStr">
        <is>
          <t>Players</t>
        </is>
      </c>
      <c r="B6" s="28">
        <f>Balance!E9</f>
        <v/>
      </c>
    </row>
    <row r="8">
      <c r="A8" s="3" t="inlineStr">
        <is>
          <t>Player</t>
        </is>
      </c>
      <c r="B8" s="3" t="inlineStr">
        <is>
          <t>Price (Cr)</t>
        </is>
      </c>
      <c r="C8" s="3" t="inlineStr">
        <is>
          <t>Role</t>
        </is>
      </c>
      <c r="D8" s="3" t="inlineStr">
        <is>
          <t>Hand</t>
        </is>
      </c>
      <c r="E8" s="3" t="inlineStr">
        <is>
          <t>Country</t>
        </is>
      </c>
      <c r="F8" s="3" t="inlineStr">
        <is>
          <t>City</t>
        </is>
      </c>
    </row>
    <row r="9">
      <c r="A9" s="5">
        <f t="array" ref="A9">IFERROR(INDEX(Auction!$A$5:$A$1000,SMALL(IF(Auction!$C$5:$C$1000=$A$1,ROW(Auction!$C$5:$C$1000)-ROW(Auction!$C$5)+1),ROWS($A$9:A9))),"")</f>
        <v/>
      </c>
      <c r="B9" s="6">
        <f t="array" ref="B9">IFERROR(INDEX(Auction!$B$5:$B$1000,SMALL(IF(Auction!$C$5:$C$1000=$A$1,ROW(Auction!$C$5:$C$1000)-ROW(Auction!$C$5)+1),ROWS($A$9:A9))),"")</f>
        <v/>
      </c>
      <c r="C9" s="7">
        <f>IFERROR(T(VLOOKUP($A9,Players!$A:$E,2,FALSE)),"")</f>
        <v/>
      </c>
      <c r="D9" s="7">
        <f>IFERROR(T(VLOOKUP($A9,Players!$A:$E,3,FALSE)),"")</f>
        <v/>
      </c>
      <c r="E9" s="5">
        <f>IFERROR(T(VLOOKUP($A9,Players!$A:$E,4,FALSE)),"")</f>
        <v/>
      </c>
      <c r="F9" s="5">
        <f>IFERROR(T(VLOOKUP($A9,Players!$A:$E,5,FALSE)),"")</f>
        <v/>
      </c>
    </row>
    <row r="10">
      <c r="A10" s="8">
        <f t="array" ref="A10">IFERROR(INDEX(Auction!$A$5:$A$1000,SMALL(IF(Auction!$C$5:$C$1000=$A$1,ROW(Auction!$C$5:$C$1000)-ROW(Auction!$C$5)+1),ROWS($A$9:A10))),"")</f>
        <v/>
      </c>
      <c r="B10" s="9">
        <f t="array" ref="B10">IFERROR(INDEX(Auction!$B$5:$B$1000,SMALL(IF(Auction!$C$5:$C$1000=$A$1,ROW(Auction!$C$5:$C$1000)-ROW(Auction!$C$5)+1),ROWS($A$9:A10))),"")</f>
        <v/>
      </c>
      <c r="C10" s="10">
        <f>IFERROR(T(VLOOKUP($A10,Players!$A:$E,2,FALSE)),"")</f>
        <v/>
      </c>
      <c r="D10" s="10">
        <f>IFERROR(T(VLOOKUP($A10,Players!$A:$E,3,FALSE)),"")</f>
        <v/>
      </c>
      <c r="E10" s="8">
        <f>IFERROR(T(VLOOKUP($A10,Players!$A:$E,4,FALSE)),"")</f>
        <v/>
      </c>
      <c r="F10" s="8">
        <f>IFERROR(T(VLOOKUP($A10,Players!$A:$E,5,FALSE)),"")</f>
        <v/>
      </c>
    </row>
    <row r="11">
      <c r="A11" s="5">
        <f t="array" ref="A11">IFERROR(INDEX(Auction!$A$5:$A$1000,SMALL(IF(Auction!$C$5:$C$1000=$A$1,ROW(Auction!$C$5:$C$1000)-ROW(Auction!$C$5)+1),ROWS($A$9:A11))),"")</f>
        <v/>
      </c>
      <c r="B11" s="6">
        <f t="array" ref="B11">IFERROR(INDEX(Auction!$B$5:$B$1000,SMALL(IF(Auction!$C$5:$C$1000=$A$1,ROW(Auction!$C$5:$C$1000)-ROW(Auction!$C$5)+1),ROWS($A$9:A11))),"")</f>
        <v/>
      </c>
      <c r="C11" s="7">
        <f>IFERROR(T(VLOOKUP($A11,Players!$A:$E,2,FALSE)),"")</f>
        <v/>
      </c>
      <c r="D11" s="7">
        <f>IFERROR(T(VLOOKUP($A11,Players!$A:$E,3,FALSE)),"")</f>
        <v/>
      </c>
      <c r="E11" s="5">
        <f>IFERROR(T(VLOOKUP($A11,Players!$A:$E,4,FALSE)),"")</f>
        <v/>
      </c>
      <c r="F11" s="5">
        <f>IFERROR(T(VLOOKUP($A11,Players!$A:$E,5,FALSE)),"")</f>
        <v/>
      </c>
    </row>
    <row r="12">
      <c r="A12" s="8">
        <f t="array" ref="A12">IFERROR(INDEX(Auction!$A$5:$A$1000,SMALL(IF(Auction!$C$5:$C$1000=$A$1,ROW(Auction!$C$5:$C$1000)-ROW(Auction!$C$5)+1),ROWS($A$9:A12))),"")</f>
        <v/>
      </c>
      <c r="B12" s="9">
        <f t="array" ref="B12">IFERROR(INDEX(Auction!$B$5:$B$1000,SMALL(IF(Auction!$C$5:$C$1000=$A$1,ROW(Auction!$C$5:$C$1000)-ROW(Auction!$C$5)+1),ROWS($A$9:A12))),"")</f>
        <v/>
      </c>
      <c r="C12" s="10">
        <f>IFERROR(T(VLOOKUP($A12,Players!$A:$E,2,FALSE)),"")</f>
        <v/>
      </c>
      <c r="D12" s="10">
        <f>IFERROR(T(VLOOKUP($A12,Players!$A:$E,3,FALSE)),"")</f>
        <v/>
      </c>
      <c r="E12" s="8">
        <f>IFERROR(T(VLOOKUP($A12,Players!$A:$E,4,FALSE)),"")</f>
        <v/>
      </c>
      <c r="F12" s="8">
        <f>IFERROR(T(VLOOKUP($A12,Players!$A:$E,5,FALSE)),"")</f>
        <v/>
      </c>
    </row>
    <row r="13">
      <c r="A13" s="5">
        <f t="array" ref="A13">IFERROR(INDEX(Auction!$A$5:$A$1000,SMALL(IF(Auction!$C$5:$C$1000=$A$1,ROW(Auction!$C$5:$C$1000)-ROW(Auction!$C$5)+1),ROWS($A$9:A13))),"")</f>
        <v/>
      </c>
      <c r="B13" s="6">
        <f t="array" ref="B13">IFERROR(INDEX(Auction!$B$5:$B$1000,SMALL(IF(Auction!$C$5:$C$1000=$A$1,ROW(Auction!$C$5:$C$1000)-ROW(Auction!$C$5)+1),ROWS($A$9:A13))),"")</f>
        <v/>
      </c>
      <c r="C13" s="7">
        <f>IFERROR(T(VLOOKUP($A13,Players!$A:$E,2,FALSE)),"")</f>
        <v/>
      </c>
      <c r="D13" s="7">
        <f>IFERROR(T(VLOOKUP($A13,Players!$A:$E,3,FALSE)),"")</f>
        <v/>
      </c>
      <c r="E13" s="5">
        <f>IFERROR(T(VLOOKUP($A13,Players!$A:$E,4,FALSE)),"")</f>
        <v/>
      </c>
      <c r="F13" s="5">
        <f>IFERROR(T(VLOOKUP($A13,Players!$A:$E,5,FALSE)),"")</f>
        <v/>
      </c>
    </row>
    <row r="14">
      <c r="A14" s="8">
        <f t="array" ref="A14">IFERROR(INDEX(Auction!$A$5:$A$1000,SMALL(IF(Auction!$C$5:$C$1000=$A$1,ROW(Auction!$C$5:$C$1000)-ROW(Auction!$C$5)+1),ROWS($A$9:A14))),"")</f>
        <v/>
      </c>
      <c r="B14" s="9">
        <f t="array" ref="B14">IFERROR(INDEX(Auction!$B$5:$B$1000,SMALL(IF(Auction!$C$5:$C$1000=$A$1,ROW(Auction!$C$5:$C$1000)-ROW(Auction!$C$5)+1),ROWS($A$9:A14))),"")</f>
        <v/>
      </c>
      <c r="C14" s="10">
        <f>IFERROR(T(VLOOKUP($A14,Players!$A:$E,2,FALSE)),"")</f>
        <v/>
      </c>
      <c r="D14" s="10">
        <f>IFERROR(T(VLOOKUP($A14,Players!$A:$E,3,FALSE)),"")</f>
        <v/>
      </c>
      <c r="E14" s="8">
        <f>IFERROR(T(VLOOKUP($A14,Players!$A:$E,4,FALSE)),"")</f>
        <v/>
      </c>
      <c r="F14" s="8">
        <f>IFERROR(T(VLOOKUP($A14,Players!$A:$E,5,FALSE)),"")</f>
        <v/>
      </c>
    </row>
    <row r="15">
      <c r="A15" s="5">
        <f t="array" ref="A15">IFERROR(INDEX(Auction!$A$5:$A$1000,SMALL(IF(Auction!$C$5:$C$1000=$A$1,ROW(Auction!$C$5:$C$1000)-ROW(Auction!$C$5)+1),ROWS($A$9:A15))),"")</f>
        <v/>
      </c>
      <c r="B15" s="6">
        <f t="array" ref="B15">IFERROR(INDEX(Auction!$B$5:$B$1000,SMALL(IF(Auction!$C$5:$C$1000=$A$1,ROW(Auction!$C$5:$C$1000)-ROW(Auction!$C$5)+1),ROWS($A$9:A15))),"")</f>
        <v/>
      </c>
      <c r="C15" s="7">
        <f>IFERROR(T(VLOOKUP($A15,Players!$A:$E,2,FALSE)),"")</f>
        <v/>
      </c>
      <c r="D15" s="7">
        <f>IFERROR(T(VLOOKUP($A15,Players!$A:$E,3,FALSE)),"")</f>
        <v/>
      </c>
      <c r="E15" s="5">
        <f>IFERROR(T(VLOOKUP($A15,Players!$A:$E,4,FALSE)),"")</f>
        <v/>
      </c>
      <c r="F15" s="5">
        <f>IFERROR(T(VLOOKUP($A15,Players!$A:$E,5,FALSE)),"")</f>
        <v/>
      </c>
    </row>
    <row r="16">
      <c r="A16" s="8">
        <f t="array" ref="A16">IFERROR(INDEX(Auction!$A$5:$A$1000,SMALL(IF(Auction!$C$5:$C$1000=$A$1,ROW(Auction!$C$5:$C$1000)-ROW(Auction!$C$5)+1),ROWS($A$9:A16))),"")</f>
        <v/>
      </c>
      <c r="B16" s="9">
        <f t="array" ref="B16">IFERROR(INDEX(Auction!$B$5:$B$1000,SMALL(IF(Auction!$C$5:$C$1000=$A$1,ROW(Auction!$C$5:$C$1000)-ROW(Auction!$C$5)+1),ROWS($A$9:A16))),"")</f>
        <v/>
      </c>
      <c r="C16" s="10">
        <f>IFERROR(T(VLOOKUP($A16,Players!$A:$E,2,FALSE)),"")</f>
        <v/>
      </c>
      <c r="D16" s="10">
        <f>IFERROR(T(VLOOKUP($A16,Players!$A:$E,3,FALSE)),"")</f>
        <v/>
      </c>
      <c r="E16" s="8">
        <f>IFERROR(T(VLOOKUP($A16,Players!$A:$E,4,FALSE)),"")</f>
        <v/>
      </c>
      <c r="F16" s="8">
        <f>IFERROR(T(VLOOKUP($A16,Players!$A:$E,5,FALSE)),"")</f>
        <v/>
      </c>
    </row>
    <row r="17">
      <c r="A17" s="5">
        <f t="array" ref="A17">IFERROR(INDEX(Auction!$A$5:$A$1000,SMALL(IF(Auction!$C$5:$C$1000=$A$1,ROW(Auction!$C$5:$C$1000)-ROW(Auction!$C$5)+1),ROWS($A$9:A17))),"")</f>
        <v/>
      </c>
      <c r="B17" s="6">
        <f t="array" ref="B17">IFERROR(INDEX(Auction!$B$5:$B$1000,SMALL(IF(Auction!$C$5:$C$1000=$A$1,ROW(Auction!$C$5:$C$1000)-ROW(Auction!$C$5)+1),ROWS($A$9:A17))),"")</f>
        <v/>
      </c>
      <c r="C17" s="7">
        <f>IFERROR(T(VLOOKUP($A17,Players!$A:$E,2,FALSE)),"")</f>
        <v/>
      </c>
      <c r="D17" s="7">
        <f>IFERROR(T(VLOOKUP($A17,Players!$A:$E,3,FALSE)),"")</f>
        <v/>
      </c>
      <c r="E17" s="5">
        <f>IFERROR(T(VLOOKUP($A17,Players!$A:$E,4,FALSE)),"")</f>
        <v/>
      </c>
      <c r="F17" s="5">
        <f>IFERROR(T(VLOOKUP($A17,Players!$A:$E,5,FALSE)),"")</f>
        <v/>
      </c>
    </row>
    <row r="18">
      <c r="A18" s="8">
        <f t="array" ref="A18">IFERROR(INDEX(Auction!$A$5:$A$1000,SMALL(IF(Auction!$C$5:$C$1000=$A$1,ROW(Auction!$C$5:$C$1000)-ROW(Auction!$C$5)+1),ROWS($A$9:A18))),"")</f>
        <v/>
      </c>
      <c r="B18" s="9">
        <f t="array" ref="B18">IFERROR(INDEX(Auction!$B$5:$B$1000,SMALL(IF(Auction!$C$5:$C$1000=$A$1,ROW(Auction!$C$5:$C$1000)-ROW(Auction!$C$5)+1),ROWS($A$9:A18))),"")</f>
        <v/>
      </c>
      <c r="C18" s="10">
        <f>IFERROR(T(VLOOKUP($A18,Players!$A:$E,2,FALSE)),"")</f>
        <v/>
      </c>
      <c r="D18" s="10">
        <f>IFERROR(T(VLOOKUP($A18,Players!$A:$E,3,FALSE)),"")</f>
        <v/>
      </c>
      <c r="E18" s="8">
        <f>IFERROR(T(VLOOKUP($A18,Players!$A:$E,4,FALSE)),"")</f>
        <v/>
      </c>
      <c r="F18" s="8">
        <f>IFERROR(T(VLOOKUP($A18,Players!$A:$E,5,FALSE)),"")</f>
        <v/>
      </c>
    </row>
    <row r="19">
      <c r="A19" s="5">
        <f t="array" ref="A19">IFERROR(INDEX(Auction!$A$5:$A$1000,SMALL(IF(Auction!$C$5:$C$1000=$A$1,ROW(Auction!$C$5:$C$1000)-ROW(Auction!$C$5)+1),ROWS($A$9:A19))),"")</f>
        <v/>
      </c>
      <c r="B19" s="6">
        <f t="array" ref="B19">IFERROR(INDEX(Auction!$B$5:$B$1000,SMALL(IF(Auction!$C$5:$C$1000=$A$1,ROW(Auction!$C$5:$C$1000)-ROW(Auction!$C$5)+1),ROWS($A$9:A19))),"")</f>
        <v/>
      </c>
      <c r="C19" s="7">
        <f>IFERROR(T(VLOOKUP($A19,Players!$A:$E,2,FALSE)),"")</f>
        <v/>
      </c>
      <c r="D19" s="7">
        <f>IFERROR(T(VLOOKUP($A19,Players!$A:$E,3,FALSE)),"")</f>
        <v/>
      </c>
      <c r="E19" s="5">
        <f>IFERROR(T(VLOOKUP($A19,Players!$A:$E,4,FALSE)),"")</f>
        <v/>
      </c>
      <c r="F19" s="5">
        <f>IFERROR(T(VLOOKUP($A19,Players!$A:$E,5,FALSE)),"")</f>
        <v/>
      </c>
    </row>
    <row r="20">
      <c r="A20" s="8">
        <f t="array" ref="A20">IFERROR(INDEX(Auction!$A$5:$A$1000,SMALL(IF(Auction!$C$5:$C$1000=$A$1,ROW(Auction!$C$5:$C$1000)-ROW(Auction!$C$5)+1),ROWS($A$9:A20))),"")</f>
        <v/>
      </c>
      <c r="B20" s="9">
        <f t="array" ref="B20">IFERROR(INDEX(Auction!$B$5:$B$1000,SMALL(IF(Auction!$C$5:$C$1000=$A$1,ROW(Auction!$C$5:$C$1000)-ROW(Auction!$C$5)+1),ROWS($A$9:A20))),"")</f>
        <v/>
      </c>
      <c r="C20" s="10">
        <f>IFERROR(T(VLOOKUP($A20,Players!$A:$E,2,FALSE)),"")</f>
        <v/>
      </c>
      <c r="D20" s="10">
        <f>IFERROR(T(VLOOKUP($A20,Players!$A:$E,3,FALSE)),"")</f>
        <v/>
      </c>
      <c r="E20" s="8">
        <f>IFERROR(T(VLOOKUP($A20,Players!$A:$E,4,FALSE)),"")</f>
        <v/>
      </c>
      <c r="F20" s="8">
        <f>IFERROR(T(VLOOKUP($A20,Players!$A:$E,5,FALSE)),"")</f>
        <v/>
      </c>
    </row>
    <row r="21">
      <c r="A21" s="5">
        <f t="array" ref="A21">IFERROR(INDEX(Auction!$A$5:$A$1000,SMALL(IF(Auction!$C$5:$C$1000=$A$1,ROW(Auction!$C$5:$C$1000)-ROW(Auction!$C$5)+1),ROWS($A$9:A21))),"")</f>
        <v/>
      </c>
      <c r="B21" s="6">
        <f t="array" ref="B21">IFERROR(INDEX(Auction!$B$5:$B$1000,SMALL(IF(Auction!$C$5:$C$1000=$A$1,ROW(Auction!$C$5:$C$1000)-ROW(Auction!$C$5)+1),ROWS($A$9:A21))),"")</f>
        <v/>
      </c>
      <c r="C21" s="7">
        <f>IFERROR(T(VLOOKUP($A21,Players!$A:$E,2,FALSE)),"")</f>
        <v/>
      </c>
      <c r="D21" s="7">
        <f>IFERROR(T(VLOOKUP($A21,Players!$A:$E,3,FALSE)),"")</f>
        <v/>
      </c>
      <c r="E21" s="5">
        <f>IFERROR(T(VLOOKUP($A21,Players!$A:$E,4,FALSE)),"")</f>
        <v/>
      </c>
      <c r="F21" s="5">
        <f>IFERROR(T(VLOOKUP($A21,Players!$A:$E,5,FALSE)),"")</f>
        <v/>
      </c>
    </row>
    <row r="22">
      <c r="A22" s="8">
        <f t="array" ref="A22">IFERROR(INDEX(Auction!$A$5:$A$1000,SMALL(IF(Auction!$C$5:$C$1000=$A$1,ROW(Auction!$C$5:$C$1000)-ROW(Auction!$C$5)+1),ROWS($A$9:A22))),"")</f>
        <v/>
      </c>
      <c r="B22" s="9">
        <f t="array" ref="B22">IFERROR(INDEX(Auction!$B$5:$B$1000,SMALL(IF(Auction!$C$5:$C$1000=$A$1,ROW(Auction!$C$5:$C$1000)-ROW(Auction!$C$5)+1),ROWS($A$9:A22))),"")</f>
        <v/>
      </c>
      <c r="C22" s="10">
        <f>IFERROR(T(VLOOKUP($A22,Players!$A:$E,2,FALSE)),"")</f>
        <v/>
      </c>
      <c r="D22" s="10">
        <f>IFERROR(T(VLOOKUP($A22,Players!$A:$E,3,FALSE)),"")</f>
        <v/>
      </c>
      <c r="E22" s="8">
        <f>IFERROR(T(VLOOKUP($A22,Players!$A:$E,4,FALSE)),"")</f>
        <v/>
      </c>
      <c r="F22" s="8">
        <f>IFERROR(T(VLOOKUP($A22,Players!$A:$E,5,FALSE)),"")</f>
        <v/>
      </c>
    </row>
    <row r="23">
      <c r="A23" s="5">
        <f t="array" ref="A23">IFERROR(INDEX(Auction!$A$5:$A$1000,SMALL(IF(Auction!$C$5:$C$1000=$A$1,ROW(Auction!$C$5:$C$1000)-ROW(Auction!$C$5)+1),ROWS($A$9:A23))),"")</f>
        <v/>
      </c>
      <c r="B23" s="6">
        <f t="array" ref="B23">IFERROR(INDEX(Auction!$B$5:$B$1000,SMALL(IF(Auction!$C$5:$C$1000=$A$1,ROW(Auction!$C$5:$C$1000)-ROW(Auction!$C$5)+1),ROWS($A$9:A23))),"")</f>
        <v/>
      </c>
      <c r="C23" s="7">
        <f>IFERROR(T(VLOOKUP($A23,Players!$A:$E,2,FALSE)),"")</f>
        <v/>
      </c>
      <c r="D23" s="7">
        <f>IFERROR(T(VLOOKUP($A23,Players!$A:$E,3,FALSE)),"")</f>
        <v/>
      </c>
      <c r="E23" s="5">
        <f>IFERROR(T(VLOOKUP($A23,Players!$A:$E,4,FALSE)),"")</f>
        <v/>
      </c>
      <c r="F23" s="5">
        <f>IFERROR(T(VLOOKUP($A23,Players!$A:$E,5,FALSE)),"")</f>
        <v/>
      </c>
    </row>
    <row r="24">
      <c r="A24" s="8">
        <f t="array" ref="A24">IFERROR(INDEX(Auction!$A$5:$A$1000,SMALL(IF(Auction!$C$5:$C$1000=$A$1,ROW(Auction!$C$5:$C$1000)-ROW(Auction!$C$5)+1),ROWS($A$9:A24))),"")</f>
        <v/>
      </c>
      <c r="B24" s="9">
        <f t="array" ref="B24">IFERROR(INDEX(Auction!$B$5:$B$1000,SMALL(IF(Auction!$C$5:$C$1000=$A$1,ROW(Auction!$C$5:$C$1000)-ROW(Auction!$C$5)+1),ROWS($A$9:A24))),"")</f>
        <v/>
      </c>
      <c r="C24" s="10">
        <f>IFERROR(T(VLOOKUP($A24,Players!$A:$E,2,FALSE)),"")</f>
        <v/>
      </c>
      <c r="D24" s="10">
        <f>IFERROR(T(VLOOKUP($A24,Players!$A:$E,3,FALSE)),"")</f>
        <v/>
      </c>
      <c r="E24" s="8">
        <f>IFERROR(T(VLOOKUP($A24,Players!$A:$E,4,FALSE)),"")</f>
        <v/>
      </c>
      <c r="F24" s="8">
        <f>IFERROR(T(VLOOKUP($A24,Players!$A:$E,5,FALSE)),"")</f>
        <v/>
      </c>
    </row>
    <row r="25">
      <c r="A25" s="5">
        <f t="array" ref="A25">IFERROR(INDEX(Auction!$A$5:$A$1000,SMALL(IF(Auction!$C$5:$C$1000=$A$1,ROW(Auction!$C$5:$C$1000)-ROW(Auction!$C$5)+1),ROWS($A$9:A25))),"")</f>
        <v/>
      </c>
      <c r="B25" s="6">
        <f t="array" ref="B25">IFERROR(INDEX(Auction!$B$5:$B$1000,SMALL(IF(Auction!$C$5:$C$1000=$A$1,ROW(Auction!$C$5:$C$1000)-ROW(Auction!$C$5)+1),ROWS($A$9:A25))),"")</f>
        <v/>
      </c>
      <c r="C25" s="7">
        <f>IFERROR(T(VLOOKUP($A25,Players!$A:$E,2,FALSE)),"")</f>
        <v/>
      </c>
      <c r="D25" s="7">
        <f>IFERROR(T(VLOOKUP($A25,Players!$A:$E,3,FALSE)),"")</f>
        <v/>
      </c>
      <c r="E25" s="5">
        <f>IFERROR(T(VLOOKUP($A25,Players!$A:$E,4,FALSE)),"")</f>
        <v/>
      </c>
      <c r="F25" s="5">
        <f>IFERROR(T(VLOOKUP($A25,Players!$A:$E,5,FALSE)),"")</f>
        <v/>
      </c>
    </row>
    <row r="26">
      <c r="A26" s="8">
        <f t="array" ref="A26">IFERROR(INDEX(Auction!$A$5:$A$1000,SMALL(IF(Auction!$C$5:$C$1000=$A$1,ROW(Auction!$C$5:$C$1000)-ROW(Auction!$C$5)+1),ROWS($A$9:A26))),"")</f>
        <v/>
      </c>
      <c r="B26" s="9">
        <f t="array" ref="B26">IFERROR(INDEX(Auction!$B$5:$B$1000,SMALL(IF(Auction!$C$5:$C$1000=$A$1,ROW(Auction!$C$5:$C$1000)-ROW(Auction!$C$5)+1),ROWS($A$9:A26))),"")</f>
        <v/>
      </c>
      <c r="C26" s="10">
        <f>IFERROR(T(VLOOKUP($A26,Players!$A:$E,2,FALSE)),"")</f>
        <v/>
      </c>
      <c r="D26" s="10">
        <f>IFERROR(T(VLOOKUP($A26,Players!$A:$E,3,FALSE)),"")</f>
        <v/>
      </c>
      <c r="E26" s="8">
        <f>IFERROR(T(VLOOKUP($A26,Players!$A:$E,4,FALSE)),"")</f>
        <v/>
      </c>
      <c r="F26" s="8">
        <f>IFERROR(T(VLOOKUP($A26,Players!$A:$E,5,FALSE)),"")</f>
        <v/>
      </c>
    </row>
    <row r="27">
      <c r="A27" s="5">
        <f t="array" ref="A27">IFERROR(INDEX(Auction!$A$5:$A$1000,SMALL(IF(Auction!$C$5:$C$1000=$A$1,ROW(Auction!$C$5:$C$1000)-ROW(Auction!$C$5)+1),ROWS($A$9:A27))),"")</f>
        <v/>
      </c>
      <c r="B27" s="6">
        <f t="array" ref="B27">IFERROR(INDEX(Auction!$B$5:$B$1000,SMALL(IF(Auction!$C$5:$C$1000=$A$1,ROW(Auction!$C$5:$C$1000)-ROW(Auction!$C$5)+1),ROWS($A$9:A27))),"")</f>
        <v/>
      </c>
      <c r="C27" s="7">
        <f>IFERROR(T(VLOOKUP($A27,Players!$A:$E,2,FALSE)),"")</f>
        <v/>
      </c>
      <c r="D27" s="7">
        <f>IFERROR(T(VLOOKUP($A27,Players!$A:$E,3,FALSE)),"")</f>
        <v/>
      </c>
      <c r="E27" s="5">
        <f>IFERROR(T(VLOOKUP($A27,Players!$A:$E,4,FALSE)),"")</f>
        <v/>
      </c>
      <c r="F27" s="5">
        <f>IFERROR(T(VLOOKUP($A27,Players!$A:$E,5,FALSE)),"")</f>
        <v/>
      </c>
    </row>
    <row r="28">
      <c r="A28" s="8">
        <f t="array" ref="A28">IFERROR(INDEX(Auction!$A$5:$A$1000,SMALL(IF(Auction!$C$5:$C$1000=$A$1,ROW(Auction!$C$5:$C$1000)-ROW(Auction!$C$5)+1),ROWS($A$9:A28))),"")</f>
        <v/>
      </c>
      <c r="B28" s="9">
        <f t="array" ref="B28">IFERROR(INDEX(Auction!$B$5:$B$1000,SMALL(IF(Auction!$C$5:$C$1000=$A$1,ROW(Auction!$C$5:$C$1000)-ROW(Auction!$C$5)+1),ROWS($A$9:A28))),"")</f>
        <v/>
      </c>
      <c r="C28" s="10">
        <f>IFERROR(T(VLOOKUP($A28,Players!$A:$E,2,FALSE)),"")</f>
        <v/>
      </c>
      <c r="D28" s="10">
        <f>IFERROR(T(VLOOKUP($A28,Players!$A:$E,3,FALSE)),"")</f>
        <v/>
      </c>
      <c r="E28" s="8">
        <f>IFERROR(T(VLOOKUP($A28,Players!$A:$E,4,FALSE)),"")</f>
        <v/>
      </c>
      <c r="F28" s="8">
        <f>IFERROR(T(VLOOKUP($A28,Players!$A:$E,5,FALSE)),"")</f>
        <v/>
      </c>
    </row>
    <row r="29">
      <c r="A29" s="5">
        <f t="array" ref="A29">IFERROR(INDEX(Auction!$A$5:$A$1000,SMALL(IF(Auction!$C$5:$C$1000=$A$1,ROW(Auction!$C$5:$C$1000)-ROW(Auction!$C$5)+1),ROWS($A$9:A29))),"")</f>
        <v/>
      </c>
      <c r="B29" s="6">
        <f t="array" ref="B29">IFERROR(INDEX(Auction!$B$5:$B$1000,SMALL(IF(Auction!$C$5:$C$1000=$A$1,ROW(Auction!$C$5:$C$1000)-ROW(Auction!$C$5)+1),ROWS($A$9:A29))),"")</f>
        <v/>
      </c>
      <c r="C29" s="7">
        <f>IFERROR(T(VLOOKUP($A29,Players!$A:$E,2,FALSE)),"")</f>
        <v/>
      </c>
      <c r="D29" s="7">
        <f>IFERROR(T(VLOOKUP($A29,Players!$A:$E,3,FALSE)),"")</f>
        <v/>
      </c>
      <c r="E29" s="5">
        <f>IFERROR(T(VLOOKUP($A29,Players!$A:$E,4,FALSE)),"")</f>
        <v/>
      </c>
      <c r="F29" s="5">
        <f>IFERROR(T(VLOOKUP($A29,Players!$A:$E,5,FALSE)),"")</f>
        <v/>
      </c>
    </row>
    <row r="30">
      <c r="A30" s="8">
        <f t="array" ref="A30">IFERROR(INDEX(Auction!$A$5:$A$1000,SMALL(IF(Auction!$C$5:$C$1000=$A$1,ROW(Auction!$C$5:$C$1000)-ROW(Auction!$C$5)+1),ROWS($A$9:A30))),"")</f>
        <v/>
      </c>
      <c r="B30" s="9">
        <f t="array" ref="B30">IFERROR(INDEX(Auction!$B$5:$B$1000,SMALL(IF(Auction!$C$5:$C$1000=$A$1,ROW(Auction!$C$5:$C$1000)-ROW(Auction!$C$5)+1),ROWS($A$9:A30))),"")</f>
        <v/>
      </c>
      <c r="C30" s="10">
        <f>IFERROR(T(VLOOKUP($A30,Players!$A:$E,2,FALSE)),"")</f>
        <v/>
      </c>
      <c r="D30" s="10">
        <f>IFERROR(T(VLOOKUP($A30,Players!$A:$E,3,FALSE)),"")</f>
        <v/>
      </c>
      <c r="E30" s="8">
        <f>IFERROR(T(VLOOKUP($A30,Players!$A:$E,4,FALSE)),"")</f>
        <v/>
      </c>
      <c r="F30" s="8">
        <f>IFERROR(T(VLOOKUP($A30,Players!$A:$E,5,FALSE)),"")</f>
        <v/>
      </c>
    </row>
    <row r="31">
      <c r="A31" s="5">
        <f t="array" ref="A31">IFERROR(INDEX(Auction!$A$5:$A$1000,SMALL(IF(Auction!$C$5:$C$1000=$A$1,ROW(Auction!$C$5:$C$1000)-ROW(Auction!$C$5)+1),ROWS($A$9:A31))),"")</f>
        <v/>
      </c>
      <c r="B31" s="6">
        <f t="array" ref="B31">IFERROR(INDEX(Auction!$B$5:$B$1000,SMALL(IF(Auction!$C$5:$C$1000=$A$1,ROW(Auction!$C$5:$C$1000)-ROW(Auction!$C$5)+1),ROWS($A$9:A31))),"")</f>
        <v/>
      </c>
      <c r="C31" s="7">
        <f>IFERROR(T(VLOOKUP($A31,Players!$A:$E,2,FALSE)),"")</f>
        <v/>
      </c>
      <c r="D31" s="7">
        <f>IFERROR(T(VLOOKUP($A31,Players!$A:$E,3,FALSE)),"")</f>
        <v/>
      </c>
      <c r="E31" s="5">
        <f>IFERROR(T(VLOOKUP($A31,Players!$A:$E,4,FALSE)),"")</f>
        <v/>
      </c>
      <c r="F31" s="5">
        <f>IFERROR(T(VLOOKUP($A31,Players!$A:$E,5,FALSE)),"")</f>
        <v/>
      </c>
    </row>
    <row r="32">
      <c r="A32" s="8">
        <f t="array" ref="A32">IFERROR(INDEX(Auction!$A$5:$A$1000,SMALL(IF(Auction!$C$5:$C$1000=$A$1,ROW(Auction!$C$5:$C$1000)-ROW(Auction!$C$5)+1),ROWS($A$9:A32))),"")</f>
        <v/>
      </c>
      <c r="B32" s="9">
        <f t="array" ref="B32">IFERROR(INDEX(Auction!$B$5:$B$1000,SMALL(IF(Auction!$C$5:$C$1000=$A$1,ROW(Auction!$C$5:$C$1000)-ROW(Auction!$C$5)+1),ROWS($A$9:A32))),"")</f>
        <v/>
      </c>
      <c r="C32" s="10">
        <f>IFERROR(T(VLOOKUP($A32,Players!$A:$E,2,FALSE)),"")</f>
        <v/>
      </c>
      <c r="D32" s="10">
        <f>IFERROR(T(VLOOKUP($A32,Players!$A:$E,3,FALSE)),"")</f>
        <v/>
      </c>
      <c r="E32" s="8">
        <f>IFERROR(T(VLOOKUP($A32,Players!$A:$E,4,FALSE)),"")</f>
        <v/>
      </c>
      <c r="F32" s="8">
        <f>IFERROR(T(VLOOKUP($A32,Players!$A:$E,5,FALSE)),"")</f>
        <v/>
      </c>
    </row>
    <row r="33">
      <c r="A33" s="5">
        <f t="array" ref="A33">IFERROR(INDEX(Auction!$A$5:$A$1000,SMALL(IF(Auction!$C$5:$C$1000=$A$1,ROW(Auction!$C$5:$C$1000)-ROW(Auction!$C$5)+1),ROWS($A$9:A33))),"")</f>
        <v/>
      </c>
      <c r="B33" s="6">
        <f t="array" ref="B33">IFERROR(INDEX(Auction!$B$5:$B$1000,SMALL(IF(Auction!$C$5:$C$1000=$A$1,ROW(Auction!$C$5:$C$1000)-ROW(Auction!$C$5)+1),ROWS($A$9:A33))),"")</f>
        <v/>
      </c>
      <c r="C33" s="7">
        <f>IFERROR(T(VLOOKUP($A33,Players!$A:$E,2,FALSE)),"")</f>
        <v/>
      </c>
      <c r="D33" s="7">
        <f>IFERROR(T(VLOOKUP($A33,Players!$A:$E,3,FALSE)),"")</f>
        <v/>
      </c>
      <c r="E33" s="5">
        <f>IFERROR(T(VLOOKUP($A33,Players!$A:$E,4,FALSE)),"")</f>
        <v/>
      </c>
      <c r="F33" s="5">
        <f>IFERROR(T(VLOOKUP($A33,Players!$A:$E,5,FALSE)),"")</f>
        <v/>
      </c>
    </row>
    <row r="34">
      <c r="A34" s="8">
        <f t="array" ref="A34">IFERROR(INDEX(Auction!$A$5:$A$1000,SMALL(IF(Auction!$C$5:$C$1000=$A$1,ROW(Auction!$C$5:$C$1000)-ROW(Auction!$C$5)+1),ROWS($A$9:A34))),"")</f>
        <v/>
      </c>
      <c r="B34" s="9">
        <f t="array" ref="B34">IFERROR(INDEX(Auction!$B$5:$B$1000,SMALL(IF(Auction!$C$5:$C$1000=$A$1,ROW(Auction!$C$5:$C$1000)-ROW(Auction!$C$5)+1),ROWS($A$9:A34))),"")</f>
        <v/>
      </c>
      <c r="C34" s="10">
        <f>IFERROR(T(VLOOKUP($A34,Players!$A:$E,2,FALSE)),"")</f>
        <v/>
      </c>
      <c r="D34" s="10">
        <f>IFERROR(T(VLOOKUP($A34,Players!$A:$E,3,FALSE)),"")</f>
        <v/>
      </c>
      <c r="E34" s="8">
        <f>IFERROR(T(VLOOKUP($A34,Players!$A:$E,4,FALSE)),"")</f>
        <v/>
      </c>
      <c r="F34" s="8">
        <f>IFERROR(T(VLOOKUP($A34,Players!$A:$E,5,FALSE)),"")</f>
        <v/>
      </c>
    </row>
    <row r="35">
      <c r="A35" s="5">
        <f t="array" ref="A35">IFERROR(INDEX(Auction!$A$5:$A$1000,SMALL(IF(Auction!$C$5:$C$1000=$A$1,ROW(Auction!$C$5:$C$1000)-ROW(Auction!$C$5)+1),ROWS($A$9:A35))),"")</f>
        <v/>
      </c>
      <c r="B35" s="6">
        <f t="array" ref="B35">IFERROR(INDEX(Auction!$B$5:$B$1000,SMALL(IF(Auction!$C$5:$C$1000=$A$1,ROW(Auction!$C$5:$C$1000)-ROW(Auction!$C$5)+1),ROWS($A$9:A35))),"")</f>
        <v/>
      </c>
      <c r="C35" s="7">
        <f>IFERROR(T(VLOOKUP($A35,Players!$A:$E,2,FALSE)),"")</f>
        <v/>
      </c>
      <c r="D35" s="7">
        <f>IFERROR(T(VLOOKUP($A35,Players!$A:$E,3,FALSE)),"")</f>
        <v/>
      </c>
      <c r="E35" s="5">
        <f>IFERROR(T(VLOOKUP($A35,Players!$A:$E,4,FALSE)),"")</f>
        <v/>
      </c>
      <c r="F35" s="5">
        <f>IFERROR(T(VLOOKUP($A35,Players!$A:$E,5,FALSE)),"")</f>
        <v/>
      </c>
    </row>
    <row r="36">
      <c r="A36" s="8">
        <f t="array" ref="A36">IFERROR(INDEX(Auction!$A$5:$A$1000,SMALL(IF(Auction!$C$5:$C$1000=$A$1,ROW(Auction!$C$5:$C$1000)-ROW(Auction!$C$5)+1),ROWS($A$9:A36))),"")</f>
        <v/>
      </c>
      <c r="B36" s="9">
        <f t="array" ref="B36">IFERROR(INDEX(Auction!$B$5:$B$1000,SMALL(IF(Auction!$C$5:$C$1000=$A$1,ROW(Auction!$C$5:$C$1000)-ROW(Auction!$C$5)+1),ROWS($A$9:A36))),"")</f>
        <v/>
      </c>
      <c r="C36" s="10">
        <f>IFERROR(T(VLOOKUP($A36,Players!$A:$E,2,FALSE)),"")</f>
        <v/>
      </c>
      <c r="D36" s="10">
        <f>IFERROR(T(VLOOKUP($A36,Players!$A:$E,3,FALSE)),"")</f>
        <v/>
      </c>
      <c r="E36" s="8">
        <f>IFERROR(T(VLOOKUP($A36,Players!$A:$E,4,FALSE)),"")</f>
        <v/>
      </c>
      <c r="F36" s="8">
        <f>IFERROR(T(VLOOKUP($A36,Players!$A:$E,5,FALSE)),"")</f>
        <v/>
      </c>
    </row>
    <row r="37">
      <c r="A37" s="5">
        <f t="array" ref="A37">IFERROR(INDEX(Auction!$A$5:$A$1000,SMALL(IF(Auction!$C$5:$C$1000=$A$1,ROW(Auction!$C$5:$C$1000)-ROW(Auction!$C$5)+1),ROWS($A$9:A37))),"")</f>
        <v/>
      </c>
      <c r="B37" s="6">
        <f t="array" ref="B37">IFERROR(INDEX(Auction!$B$5:$B$1000,SMALL(IF(Auction!$C$5:$C$1000=$A$1,ROW(Auction!$C$5:$C$1000)-ROW(Auction!$C$5)+1),ROWS($A$9:A37))),"")</f>
        <v/>
      </c>
      <c r="C37" s="7">
        <f>IFERROR(T(VLOOKUP($A37,Players!$A:$E,2,FALSE)),"")</f>
        <v/>
      </c>
      <c r="D37" s="7">
        <f>IFERROR(T(VLOOKUP($A37,Players!$A:$E,3,FALSE)),"")</f>
        <v/>
      </c>
      <c r="E37" s="5">
        <f>IFERROR(T(VLOOKUP($A37,Players!$A:$E,4,FALSE)),"")</f>
        <v/>
      </c>
      <c r="F37" s="5">
        <f>IFERROR(T(VLOOKUP($A37,Players!$A:$E,5,FALSE)),"")</f>
        <v/>
      </c>
    </row>
    <row r="38">
      <c r="A38" s="8">
        <f t="array" ref="A38">IFERROR(INDEX(Auction!$A$5:$A$1000,SMALL(IF(Auction!$C$5:$C$1000=$A$1,ROW(Auction!$C$5:$C$1000)-ROW(Auction!$C$5)+1),ROWS($A$9:A38))),"")</f>
        <v/>
      </c>
      <c r="B38" s="9">
        <f t="array" ref="B38">IFERROR(INDEX(Auction!$B$5:$B$1000,SMALL(IF(Auction!$C$5:$C$1000=$A$1,ROW(Auction!$C$5:$C$1000)-ROW(Auction!$C$5)+1),ROWS($A$9:A38))),"")</f>
        <v/>
      </c>
      <c r="C38" s="10">
        <f>IFERROR(T(VLOOKUP($A38,Players!$A:$E,2,FALSE)),"")</f>
        <v/>
      </c>
      <c r="D38" s="10">
        <f>IFERROR(T(VLOOKUP($A38,Players!$A:$E,3,FALSE)),"")</f>
        <v/>
      </c>
      <c r="E38" s="8">
        <f>IFERROR(T(VLOOKUP($A38,Players!$A:$E,4,FALSE)),"")</f>
        <v/>
      </c>
      <c r="F38" s="8">
        <f>IFERROR(T(VLOOKUP($A38,Players!$A:$E,5,FALSE)),"")</f>
        <v/>
      </c>
    </row>
    <row r="39">
      <c r="A39" s="5">
        <f t="array" ref="A39">IFERROR(INDEX(Auction!$A$5:$A$1000,SMALL(IF(Auction!$C$5:$C$1000=$A$1,ROW(Auction!$C$5:$C$1000)-ROW(Auction!$C$5)+1),ROWS($A$9:A39))),"")</f>
        <v/>
      </c>
      <c r="B39" s="6">
        <f t="array" ref="B39">IFERROR(INDEX(Auction!$B$5:$B$1000,SMALL(IF(Auction!$C$5:$C$1000=$A$1,ROW(Auction!$C$5:$C$1000)-ROW(Auction!$C$5)+1),ROWS($A$9:A39))),"")</f>
        <v/>
      </c>
      <c r="C39" s="7">
        <f>IFERROR(T(VLOOKUP($A39,Players!$A:$E,2,FALSE)),"")</f>
        <v/>
      </c>
      <c r="D39" s="7">
        <f>IFERROR(T(VLOOKUP($A39,Players!$A:$E,3,FALSE)),"")</f>
        <v/>
      </c>
      <c r="E39" s="5">
        <f>IFERROR(T(VLOOKUP($A39,Players!$A:$E,4,FALSE)),"")</f>
        <v/>
      </c>
      <c r="F39" s="5">
        <f>IFERROR(T(VLOOKUP($A39,Players!$A:$E,5,FALSE)),"")</f>
        <v/>
      </c>
    </row>
    <row r="40">
      <c r="A40" s="8">
        <f t="array" ref="A40">IFERROR(INDEX(Auction!$A$5:$A$1000,SMALL(IF(Auction!$C$5:$C$1000=$A$1,ROW(Auction!$C$5:$C$1000)-ROW(Auction!$C$5)+1),ROWS($A$9:A40))),"")</f>
        <v/>
      </c>
      <c r="B40" s="9">
        <f t="array" ref="B40">IFERROR(INDEX(Auction!$B$5:$B$1000,SMALL(IF(Auction!$C$5:$C$1000=$A$1,ROW(Auction!$C$5:$C$1000)-ROW(Auction!$C$5)+1),ROWS($A$9:A40))),"")</f>
        <v/>
      </c>
      <c r="C40" s="10">
        <f>IFERROR(T(VLOOKUP($A40,Players!$A:$E,2,FALSE)),"")</f>
        <v/>
      </c>
      <c r="D40" s="10">
        <f>IFERROR(T(VLOOKUP($A40,Players!$A:$E,3,FALSE)),"")</f>
        <v/>
      </c>
      <c r="E40" s="8">
        <f>IFERROR(T(VLOOKUP($A40,Players!$A:$E,4,FALSE)),"")</f>
        <v/>
      </c>
      <c r="F40" s="8">
        <f>IFERROR(T(VLOOKUP($A40,Players!$A:$E,5,FALSE)),"")</f>
        <v/>
      </c>
    </row>
    <row r="41">
      <c r="A41" s="5">
        <f t="array" ref="A41">IFERROR(INDEX(Auction!$A$5:$A$1000,SMALL(IF(Auction!$C$5:$C$1000=$A$1,ROW(Auction!$C$5:$C$1000)-ROW(Auction!$C$5)+1),ROWS($A$9:A41))),"")</f>
        <v/>
      </c>
      <c r="B41" s="6">
        <f t="array" ref="B41">IFERROR(INDEX(Auction!$B$5:$B$1000,SMALL(IF(Auction!$C$5:$C$1000=$A$1,ROW(Auction!$C$5:$C$1000)-ROW(Auction!$C$5)+1),ROWS($A$9:A41))),"")</f>
        <v/>
      </c>
      <c r="C41" s="7">
        <f>IFERROR(T(VLOOKUP($A41,Players!$A:$E,2,FALSE)),"")</f>
        <v/>
      </c>
      <c r="D41" s="7">
        <f>IFERROR(T(VLOOKUP($A41,Players!$A:$E,3,FALSE)),"")</f>
        <v/>
      </c>
      <c r="E41" s="5">
        <f>IFERROR(T(VLOOKUP($A41,Players!$A:$E,4,FALSE)),"")</f>
        <v/>
      </c>
      <c r="F41" s="5">
        <f>IFERROR(T(VLOOKUP($A41,Players!$A:$E,5,FALSE)),"")</f>
        <v/>
      </c>
    </row>
    <row r="42">
      <c r="A42" s="8">
        <f t="array" ref="A42">IFERROR(INDEX(Auction!$A$5:$A$1000,SMALL(IF(Auction!$C$5:$C$1000=$A$1,ROW(Auction!$C$5:$C$1000)-ROW(Auction!$C$5)+1),ROWS($A$9:A42))),"")</f>
        <v/>
      </c>
      <c r="B42" s="9">
        <f t="array" ref="B42">IFERROR(INDEX(Auction!$B$5:$B$1000,SMALL(IF(Auction!$C$5:$C$1000=$A$1,ROW(Auction!$C$5:$C$1000)-ROW(Auction!$C$5)+1),ROWS($A$9:A42))),"")</f>
        <v/>
      </c>
      <c r="C42" s="10">
        <f>IFERROR(T(VLOOKUP($A42,Players!$A:$E,2,FALSE)),"")</f>
        <v/>
      </c>
      <c r="D42" s="10">
        <f>IFERROR(T(VLOOKUP($A42,Players!$A:$E,3,FALSE)),"")</f>
        <v/>
      </c>
      <c r="E42" s="8">
        <f>IFERROR(T(VLOOKUP($A42,Players!$A:$E,4,FALSE)),"")</f>
        <v/>
      </c>
      <c r="F42" s="8">
        <f>IFERROR(T(VLOOKUP($A42,Players!$A:$E,5,FALSE)),"")</f>
        <v/>
      </c>
    </row>
    <row r="43">
      <c r="A43" s="5">
        <f t="array" ref="A43">IFERROR(INDEX(Auction!$A$5:$A$1000,SMALL(IF(Auction!$C$5:$C$1000=$A$1,ROW(Auction!$C$5:$C$1000)-ROW(Auction!$C$5)+1),ROWS($A$9:A43))),"")</f>
        <v/>
      </c>
      <c r="B43" s="6">
        <f t="array" ref="B43">IFERROR(INDEX(Auction!$B$5:$B$1000,SMALL(IF(Auction!$C$5:$C$1000=$A$1,ROW(Auction!$C$5:$C$1000)-ROW(Auction!$C$5)+1),ROWS($A$9:A43))),"")</f>
        <v/>
      </c>
      <c r="C43" s="7">
        <f>IFERROR(T(VLOOKUP($A43,Players!$A:$E,2,FALSE)),"")</f>
        <v/>
      </c>
      <c r="D43" s="7">
        <f>IFERROR(T(VLOOKUP($A43,Players!$A:$E,3,FALSE)),"")</f>
        <v/>
      </c>
      <c r="E43" s="5">
        <f>IFERROR(T(VLOOKUP($A43,Players!$A:$E,4,FALSE)),"")</f>
        <v/>
      </c>
      <c r="F43" s="5">
        <f>IFERROR(T(VLOOKUP($A43,Players!$A:$E,5,FALSE)),"")</f>
        <v/>
      </c>
    </row>
    <row r="44">
      <c r="A44" s="8">
        <f t="array" ref="A44">IFERROR(INDEX(Auction!$A$5:$A$1000,SMALL(IF(Auction!$C$5:$C$1000=$A$1,ROW(Auction!$C$5:$C$1000)-ROW(Auction!$C$5)+1),ROWS($A$9:A44))),"")</f>
        <v/>
      </c>
      <c r="B44" s="9">
        <f t="array" ref="B44">IFERROR(INDEX(Auction!$B$5:$B$1000,SMALL(IF(Auction!$C$5:$C$1000=$A$1,ROW(Auction!$C$5:$C$1000)-ROW(Auction!$C$5)+1),ROWS($A$9:A44))),"")</f>
        <v/>
      </c>
      <c r="C44" s="10">
        <f>IFERROR(T(VLOOKUP($A44,Players!$A:$E,2,FALSE)),"")</f>
        <v/>
      </c>
      <c r="D44" s="10">
        <f>IFERROR(T(VLOOKUP($A44,Players!$A:$E,3,FALSE)),"")</f>
        <v/>
      </c>
      <c r="E44" s="8">
        <f>IFERROR(T(VLOOKUP($A44,Players!$A:$E,4,FALSE)),"")</f>
        <v/>
      </c>
      <c r="F44" s="8">
        <f>IFERROR(T(VLOOKUP($A44,Players!$A:$E,5,FALSE)),"")</f>
        <v/>
      </c>
    </row>
    <row r="45">
      <c r="A45" s="5">
        <f t="array" ref="A45">IFERROR(INDEX(Auction!$A$5:$A$1000,SMALL(IF(Auction!$C$5:$C$1000=$A$1,ROW(Auction!$C$5:$C$1000)-ROW(Auction!$C$5)+1),ROWS($A$9:A45))),"")</f>
        <v/>
      </c>
      <c r="B45" s="6">
        <f t="array" ref="B45">IFERROR(INDEX(Auction!$B$5:$B$1000,SMALL(IF(Auction!$C$5:$C$1000=$A$1,ROW(Auction!$C$5:$C$1000)-ROW(Auction!$C$5)+1),ROWS($A$9:A45))),"")</f>
        <v/>
      </c>
      <c r="C45" s="7">
        <f>IFERROR(T(VLOOKUP($A45,Players!$A:$E,2,FALSE)),"")</f>
        <v/>
      </c>
      <c r="D45" s="7">
        <f>IFERROR(T(VLOOKUP($A45,Players!$A:$E,3,FALSE)),"")</f>
        <v/>
      </c>
      <c r="E45" s="5">
        <f>IFERROR(T(VLOOKUP($A45,Players!$A:$E,4,FALSE)),"")</f>
        <v/>
      </c>
      <c r="F45" s="5">
        <f>IFERROR(T(VLOOKUP($A45,Players!$A:$E,5,FALSE)),"")</f>
        <v/>
      </c>
    </row>
    <row r="46">
      <c r="A46" s="8">
        <f t="array" ref="A46">IFERROR(INDEX(Auction!$A$5:$A$1000,SMALL(IF(Auction!$C$5:$C$1000=$A$1,ROW(Auction!$C$5:$C$1000)-ROW(Auction!$C$5)+1),ROWS($A$9:A46))),"")</f>
        <v/>
      </c>
      <c r="B46" s="9">
        <f t="array" ref="B46">IFERROR(INDEX(Auction!$B$5:$B$1000,SMALL(IF(Auction!$C$5:$C$1000=$A$1,ROW(Auction!$C$5:$C$1000)-ROW(Auction!$C$5)+1),ROWS($A$9:A46))),"")</f>
        <v/>
      </c>
      <c r="C46" s="10">
        <f>IFERROR(T(VLOOKUP($A46,Players!$A:$E,2,FALSE)),"")</f>
        <v/>
      </c>
      <c r="D46" s="10">
        <f>IFERROR(T(VLOOKUP($A46,Players!$A:$E,3,FALSE)),"")</f>
        <v/>
      </c>
      <c r="E46" s="8">
        <f>IFERROR(T(VLOOKUP($A46,Players!$A:$E,4,FALSE)),"")</f>
        <v/>
      </c>
      <c r="F46" s="8">
        <f>IFERROR(T(VLOOKUP($A46,Players!$A:$E,5,FALSE)),"")</f>
        <v/>
      </c>
    </row>
    <row r="47">
      <c r="A47" s="5">
        <f t="array" ref="A47">IFERROR(INDEX(Auction!$A$5:$A$1000,SMALL(IF(Auction!$C$5:$C$1000=$A$1,ROW(Auction!$C$5:$C$1000)-ROW(Auction!$C$5)+1),ROWS($A$9:A47))),"")</f>
        <v/>
      </c>
      <c r="B47" s="6">
        <f t="array" ref="B47">IFERROR(INDEX(Auction!$B$5:$B$1000,SMALL(IF(Auction!$C$5:$C$1000=$A$1,ROW(Auction!$C$5:$C$1000)-ROW(Auction!$C$5)+1),ROWS($A$9:A47))),"")</f>
        <v/>
      </c>
      <c r="C47" s="7">
        <f>IFERROR(T(VLOOKUP($A47,Players!$A:$E,2,FALSE)),"")</f>
        <v/>
      </c>
      <c r="D47" s="7">
        <f>IFERROR(T(VLOOKUP($A47,Players!$A:$E,3,FALSE)),"")</f>
        <v/>
      </c>
      <c r="E47" s="5">
        <f>IFERROR(T(VLOOKUP($A47,Players!$A:$E,4,FALSE)),"")</f>
        <v/>
      </c>
      <c r="F47" s="5">
        <f>IFERROR(T(VLOOKUP($A47,Players!$A:$E,5,FALSE)),"")</f>
        <v/>
      </c>
    </row>
    <row r="48">
      <c r="A48" s="8">
        <f t="array" ref="A48">IFERROR(INDEX(Auction!$A$5:$A$1000,SMALL(IF(Auction!$C$5:$C$1000=$A$1,ROW(Auction!$C$5:$C$1000)-ROW(Auction!$C$5)+1),ROWS($A$9:A48))),"")</f>
        <v/>
      </c>
      <c r="B48" s="9">
        <f t="array" ref="B48">IFERROR(INDEX(Auction!$B$5:$B$1000,SMALL(IF(Auction!$C$5:$C$1000=$A$1,ROW(Auction!$C$5:$C$1000)-ROW(Auction!$C$5)+1),ROWS($A$9:A48))),"")</f>
        <v/>
      </c>
      <c r="C48" s="10">
        <f>IFERROR(T(VLOOKUP($A48,Players!$A:$E,2,FALSE)),"")</f>
        <v/>
      </c>
      <c r="D48" s="10">
        <f>IFERROR(T(VLOOKUP($A48,Players!$A:$E,3,FALSE)),"")</f>
        <v/>
      </c>
      <c r="E48" s="8">
        <f>IFERROR(T(VLOOKUP($A48,Players!$A:$E,4,FALSE)),"")</f>
        <v/>
      </c>
      <c r="F48" s="8">
        <f>IFERROR(T(VLOOKUP($A48,Players!$A:$E,5,FALSE)),"")</f>
        <v/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5E8C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8" customWidth="1" min="4" max="4"/>
    <col width="14" customWidth="1" min="5" max="5"/>
    <col width="15" customWidth="1" min="6" max="6"/>
  </cols>
  <sheetData>
    <row r="1" ht="28" customHeight="1">
      <c r="A1" s="22">
        <f>Balance!A10</f>
        <v/>
      </c>
    </row>
    <row r="3">
      <c r="A3" s="23" t="inlineStr">
        <is>
          <t>Purse (Cr)</t>
        </is>
      </c>
      <c r="B3" s="24">
        <f>Balance!B10</f>
        <v/>
      </c>
    </row>
    <row r="4">
      <c r="A4" s="23" t="inlineStr">
        <is>
          <t>Spent (Cr)</t>
        </is>
      </c>
      <c r="B4" s="24">
        <f>Balance!C10</f>
        <v/>
      </c>
    </row>
    <row r="5">
      <c r="A5" s="25" t="inlineStr">
        <is>
          <t>Balance (Cr)</t>
        </is>
      </c>
      <c r="B5" s="26">
        <f>Balance!D10</f>
        <v/>
      </c>
    </row>
    <row r="6">
      <c r="A6" s="27" t="inlineStr">
        <is>
          <t>Players</t>
        </is>
      </c>
      <c r="B6" s="28">
        <f>Balance!E10</f>
        <v/>
      </c>
    </row>
    <row r="8">
      <c r="A8" s="3" t="inlineStr">
        <is>
          <t>Player</t>
        </is>
      </c>
      <c r="B8" s="3" t="inlineStr">
        <is>
          <t>Price (Cr)</t>
        </is>
      </c>
      <c r="C8" s="3" t="inlineStr">
        <is>
          <t>Role</t>
        </is>
      </c>
      <c r="D8" s="3" t="inlineStr">
        <is>
          <t>Hand</t>
        </is>
      </c>
      <c r="E8" s="3" t="inlineStr">
        <is>
          <t>Country</t>
        </is>
      </c>
      <c r="F8" s="3" t="inlineStr">
        <is>
          <t>City</t>
        </is>
      </c>
    </row>
    <row r="9">
      <c r="A9" s="5">
        <f t="array" ref="A9">IFERROR(INDEX(Auction!$A$5:$A$1000,SMALL(IF(Auction!$C$5:$C$1000=$A$1,ROW(Auction!$C$5:$C$1000)-ROW(Auction!$C$5)+1),ROWS($A$9:A9))),"")</f>
        <v/>
      </c>
      <c r="B9" s="6">
        <f t="array" ref="B9">IFERROR(INDEX(Auction!$B$5:$B$1000,SMALL(IF(Auction!$C$5:$C$1000=$A$1,ROW(Auction!$C$5:$C$1000)-ROW(Auction!$C$5)+1),ROWS($A$9:A9))),"")</f>
        <v/>
      </c>
      <c r="C9" s="7">
        <f>IFERROR(T(VLOOKUP($A9,Players!$A:$E,2,FALSE)),"")</f>
        <v/>
      </c>
      <c r="D9" s="7">
        <f>IFERROR(T(VLOOKUP($A9,Players!$A:$E,3,FALSE)),"")</f>
        <v/>
      </c>
      <c r="E9" s="5">
        <f>IFERROR(T(VLOOKUP($A9,Players!$A:$E,4,FALSE)),"")</f>
        <v/>
      </c>
      <c r="F9" s="5">
        <f>IFERROR(T(VLOOKUP($A9,Players!$A:$E,5,FALSE)),"")</f>
        <v/>
      </c>
    </row>
    <row r="10">
      <c r="A10" s="8">
        <f t="array" ref="A10">IFERROR(INDEX(Auction!$A$5:$A$1000,SMALL(IF(Auction!$C$5:$C$1000=$A$1,ROW(Auction!$C$5:$C$1000)-ROW(Auction!$C$5)+1),ROWS($A$9:A10))),"")</f>
        <v/>
      </c>
      <c r="B10" s="9">
        <f t="array" ref="B10">IFERROR(INDEX(Auction!$B$5:$B$1000,SMALL(IF(Auction!$C$5:$C$1000=$A$1,ROW(Auction!$C$5:$C$1000)-ROW(Auction!$C$5)+1),ROWS($A$9:A10))),"")</f>
        <v/>
      </c>
      <c r="C10" s="10">
        <f>IFERROR(T(VLOOKUP($A10,Players!$A:$E,2,FALSE)),"")</f>
        <v/>
      </c>
      <c r="D10" s="10">
        <f>IFERROR(T(VLOOKUP($A10,Players!$A:$E,3,FALSE)),"")</f>
        <v/>
      </c>
      <c r="E10" s="8">
        <f>IFERROR(T(VLOOKUP($A10,Players!$A:$E,4,FALSE)),"")</f>
        <v/>
      </c>
      <c r="F10" s="8">
        <f>IFERROR(T(VLOOKUP($A10,Players!$A:$E,5,FALSE)),"")</f>
        <v/>
      </c>
    </row>
    <row r="11">
      <c r="A11" s="5">
        <f t="array" ref="A11">IFERROR(INDEX(Auction!$A$5:$A$1000,SMALL(IF(Auction!$C$5:$C$1000=$A$1,ROW(Auction!$C$5:$C$1000)-ROW(Auction!$C$5)+1),ROWS($A$9:A11))),"")</f>
        <v/>
      </c>
      <c r="B11" s="6">
        <f t="array" ref="B11">IFERROR(INDEX(Auction!$B$5:$B$1000,SMALL(IF(Auction!$C$5:$C$1000=$A$1,ROW(Auction!$C$5:$C$1000)-ROW(Auction!$C$5)+1),ROWS($A$9:A11))),"")</f>
        <v/>
      </c>
      <c r="C11" s="7">
        <f>IFERROR(T(VLOOKUP($A11,Players!$A:$E,2,FALSE)),"")</f>
        <v/>
      </c>
      <c r="D11" s="7">
        <f>IFERROR(T(VLOOKUP($A11,Players!$A:$E,3,FALSE)),"")</f>
        <v/>
      </c>
      <c r="E11" s="5">
        <f>IFERROR(T(VLOOKUP($A11,Players!$A:$E,4,FALSE)),"")</f>
        <v/>
      </c>
      <c r="F11" s="5">
        <f>IFERROR(T(VLOOKUP($A11,Players!$A:$E,5,FALSE)),"")</f>
        <v/>
      </c>
    </row>
    <row r="12">
      <c r="A12" s="8">
        <f t="array" ref="A12">IFERROR(INDEX(Auction!$A$5:$A$1000,SMALL(IF(Auction!$C$5:$C$1000=$A$1,ROW(Auction!$C$5:$C$1000)-ROW(Auction!$C$5)+1),ROWS($A$9:A12))),"")</f>
        <v/>
      </c>
      <c r="B12" s="9">
        <f t="array" ref="B12">IFERROR(INDEX(Auction!$B$5:$B$1000,SMALL(IF(Auction!$C$5:$C$1000=$A$1,ROW(Auction!$C$5:$C$1000)-ROW(Auction!$C$5)+1),ROWS($A$9:A12))),"")</f>
        <v/>
      </c>
      <c r="C12" s="10">
        <f>IFERROR(T(VLOOKUP($A12,Players!$A:$E,2,FALSE)),"")</f>
        <v/>
      </c>
      <c r="D12" s="10">
        <f>IFERROR(T(VLOOKUP($A12,Players!$A:$E,3,FALSE)),"")</f>
        <v/>
      </c>
      <c r="E12" s="8">
        <f>IFERROR(T(VLOOKUP($A12,Players!$A:$E,4,FALSE)),"")</f>
        <v/>
      </c>
      <c r="F12" s="8">
        <f>IFERROR(T(VLOOKUP($A12,Players!$A:$E,5,FALSE)),"")</f>
        <v/>
      </c>
    </row>
    <row r="13">
      <c r="A13" s="5">
        <f t="array" ref="A13">IFERROR(INDEX(Auction!$A$5:$A$1000,SMALL(IF(Auction!$C$5:$C$1000=$A$1,ROW(Auction!$C$5:$C$1000)-ROW(Auction!$C$5)+1),ROWS($A$9:A13))),"")</f>
        <v/>
      </c>
      <c r="B13" s="6">
        <f t="array" ref="B13">IFERROR(INDEX(Auction!$B$5:$B$1000,SMALL(IF(Auction!$C$5:$C$1000=$A$1,ROW(Auction!$C$5:$C$1000)-ROW(Auction!$C$5)+1),ROWS($A$9:A13))),"")</f>
        <v/>
      </c>
      <c r="C13" s="7">
        <f>IFERROR(T(VLOOKUP($A13,Players!$A:$E,2,FALSE)),"")</f>
        <v/>
      </c>
      <c r="D13" s="7">
        <f>IFERROR(T(VLOOKUP($A13,Players!$A:$E,3,FALSE)),"")</f>
        <v/>
      </c>
      <c r="E13" s="5">
        <f>IFERROR(T(VLOOKUP($A13,Players!$A:$E,4,FALSE)),"")</f>
        <v/>
      </c>
      <c r="F13" s="5">
        <f>IFERROR(T(VLOOKUP($A13,Players!$A:$E,5,FALSE)),"")</f>
        <v/>
      </c>
    </row>
    <row r="14">
      <c r="A14" s="8">
        <f t="array" ref="A14">IFERROR(INDEX(Auction!$A$5:$A$1000,SMALL(IF(Auction!$C$5:$C$1000=$A$1,ROW(Auction!$C$5:$C$1000)-ROW(Auction!$C$5)+1),ROWS($A$9:A14))),"")</f>
        <v/>
      </c>
      <c r="B14" s="9">
        <f t="array" ref="B14">IFERROR(INDEX(Auction!$B$5:$B$1000,SMALL(IF(Auction!$C$5:$C$1000=$A$1,ROW(Auction!$C$5:$C$1000)-ROW(Auction!$C$5)+1),ROWS($A$9:A14))),"")</f>
        <v/>
      </c>
      <c r="C14" s="10">
        <f>IFERROR(T(VLOOKUP($A14,Players!$A:$E,2,FALSE)),"")</f>
        <v/>
      </c>
      <c r="D14" s="10">
        <f>IFERROR(T(VLOOKUP($A14,Players!$A:$E,3,FALSE)),"")</f>
        <v/>
      </c>
      <c r="E14" s="8">
        <f>IFERROR(T(VLOOKUP($A14,Players!$A:$E,4,FALSE)),"")</f>
        <v/>
      </c>
      <c r="F14" s="8">
        <f>IFERROR(T(VLOOKUP($A14,Players!$A:$E,5,FALSE)),"")</f>
        <v/>
      </c>
    </row>
    <row r="15">
      <c r="A15" s="5">
        <f t="array" ref="A15">IFERROR(INDEX(Auction!$A$5:$A$1000,SMALL(IF(Auction!$C$5:$C$1000=$A$1,ROW(Auction!$C$5:$C$1000)-ROW(Auction!$C$5)+1),ROWS($A$9:A15))),"")</f>
        <v/>
      </c>
      <c r="B15" s="6">
        <f t="array" ref="B15">IFERROR(INDEX(Auction!$B$5:$B$1000,SMALL(IF(Auction!$C$5:$C$1000=$A$1,ROW(Auction!$C$5:$C$1000)-ROW(Auction!$C$5)+1),ROWS($A$9:A15))),"")</f>
        <v/>
      </c>
      <c r="C15" s="7">
        <f>IFERROR(T(VLOOKUP($A15,Players!$A:$E,2,FALSE)),"")</f>
        <v/>
      </c>
      <c r="D15" s="7">
        <f>IFERROR(T(VLOOKUP($A15,Players!$A:$E,3,FALSE)),"")</f>
        <v/>
      </c>
      <c r="E15" s="5">
        <f>IFERROR(T(VLOOKUP($A15,Players!$A:$E,4,FALSE)),"")</f>
        <v/>
      </c>
      <c r="F15" s="5">
        <f>IFERROR(T(VLOOKUP($A15,Players!$A:$E,5,FALSE)),"")</f>
        <v/>
      </c>
    </row>
    <row r="16">
      <c r="A16" s="8">
        <f t="array" ref="A16">IFERROR(INDEX(Auction!$A$5:$A$1000,SMALL(IF(Auction!$C$5:$C$1000=$A$1,ROW(Auction!$C$5:$C$1000)-ROW(Auction!$C$5)+1),ROWS($A$9:A16))),"")</f>
        <v/>
      </c>
      <c r="B16" s="9">
        <f t="array" ref="B16">IFERROR(INDEX(Auction!$B$5:$B$1000,SMALL(IF(Auction!$C$5:$C$1000=$A$1,ROW(Auction!$C$5:$C$1000)-ROW(Auction!$C$5)+1),ROWS($A$9:A16))),"")</f>
        <v/>
      </c>
      <c r="C16" s="10">
        <f>IFERROR(T(VLOOKUP($A16,Players!$A:$E,2,FALSE)),"")</f>
        <v/>
      </c>
      <c r="D16" s="10">
        <f>IFERROR(T(VLOOKUP($A16,Players!$A:$E,3,FALSE)),"")</f>
        <v/>
      </c>
      <c r="E16" s="8">
        <f>IFERROR(T(VLOOKUP($A16,Players!$A:$E,4,FALSE)),"")</f>
        <v/>
      </c>
      <c r="F16" s="8">
        <f>IFERROR(T(VLOOKUP($A16,Players!$A:$E,5,FALSE)),"")</f>
        <v/>
      </c>
    </row>
    <row r="17">
      <c r="A17" s="5">
        <f t="array" ref="A17">IFERROR(INDEX(Auction!$A$5:$A$1000,SMALL(IF(Auction!$C$5:$C$1000=$A$1,ROW(Auction!$C$5:$C$1000)-ROW(Auction!$C$5)+1),ROWS($A$9:A17))),"")</f>
        <v/>
      </c>
      <c r="B17" s="6">
        <f t="array" ref="B17">IFERROR(INDEX(Auction!$B$5:$B$1000,SMALL(IF(Auction!$C$5:$C$1000=$A$1,ROW(Auction!$C$5:$C$1000)-ROW(Auction!$C$5)+1),ROWS($A$9:A17))),"")</f>
        <v/>
      </c>
      <c r="C17" s="7">
        <f>IFERROR(T(VLOOKUP($A17,Players!$A:$E,2,FALSE)),"")</f>
        <v/>
      </c>
      <c r="D17" s="7">
        <f>IFERROR(T(VLOOKUP($A17,Players!$A:$E,3,FALSE)),"")</f>
        <v/>
      </c>
      <c r="E17" s="5">
        <f>IFERROR(T(VLOOKUP($A17,Players!$A:$E,4,FALSE)),"")</f>
        <v/>
      </c>
      <c r="F17" s="5">
        <f>IFERROR(T(VLOOKUP($A17,Players!$A:$E,5,FALSE)),"")</f>
        <v/>
      </c>
    </row>
    <row r="18">
      <c r="A18" s="8">
        <f t="array" ref="A18">IFERROR(INDEX(Auction!$A$5:$A$1000,SMALL(IF(Auction!$C$5:$C$1000=$A$1,ROW(Auction!$C$5:$C$1000)-ROW(Auction!$C$5)+1),ROWS($A$9:A18))),"")</f>
        <v/>
      </c>
      <c r="B18" s="9">
        <f t="array" ref="B18">IFERROR(INDEX(Auction!$B$5:$B$1000,SMALL(IF(Auction!$C$5:$C$1000=$A$1,ROW(Auction!$C$5:$C$1000)-ROW(Auction!$C$5)+1),ROWS($A$9:A18))),"")</f>
        <v/>
      </c>
      <c r="C18" s="10">
        <f>IFERROR(T(VLOOKUP($A18,Players!$A:$E,2,FALSE)),"")</f>
        <v/>
      </c>
      <c r="D18" s="10">
        <f>IFERROR(T(VLOOKUP($A18,Players!$A:$E,3,FALSE)),"")</f>
        <v/>
      </c>
      <c r="E18" s="8">
        <f>IFERROR(T(VLOOKUP($A18,Players!$A:$E,4,FALSE)),"")</f>
        <v/>
      </c>
      <c r="F18" s="8">
        <f>IFERROR(T(VLOOKUP($A18,Players!$A:$E,5,FALSE)),"")</f>
        <v/>
      </c>
    </row>
    <row r="19">
      <c r="A19" s="5">
        <f t="array" ref="A19">IFERROR(INDEX(Auction!$A$5:$A$1000,SMALL(IF(Auction!$C$5:$C$1000=$A$1,ROW(Auction!$C$5:$C$1000)-ROW(Auction!$C$5)+1),ROWS($A$9:A19))),"")</f>
        <v/>
      </c>
      <c r="B19" s="6">
        <f t="array" ref="B19">IFERROR(INDEX(Auction!$B$5:$B$1000,SMALL(IF(Auction!$C$5:$C$1000=$A$1,ROW(Auction!$C$5:$C$1000)-ROW(Auction!$C$5)+1),ROWS($A$9:A19))),"")</f>
        <v/>
      </c>
      <c r="C19" s="7">
        <f>IFERROR(T(VLOOKUP($A19,Players!$A:$E,2,FALSE)),"")</f>
        <v/>
      </c>
      <c r="D19" s="7">
        <f>IFERROR(T(VLOOKUP($A19,Players!$A:$E,3,FALSE)),"")</f>
        <v/>
      </c>
      <c r="E19" s="5">
        <f>IFERROR(T(VLOOKUP($A19,Players!$A:$E,4,FALSE)),"")</f>
        <v/>
      </c>
      <c r="F19" s="5">
        <f>IFERROR(T(VLOOKUP($A19,Players!$A:$E,5,FALSE)),"")</f>
        <v/>
      </c>
    </row>
    <row r="20">
      <c r="A20" s="8">
        <f t="array" ref="A20">IFERROR(INDEX(Auction!$A$5:$A$1000,SMALL(IF(Auction!$C$5:$C$1000=$A$1,ROW(Auction!$C$5:$C$1000)-ROW(Auction!$C$5)+1),ROWS($A$9:A20))),"")</f>
        <v/>
      </c>
      <c r="B20" s="9">
        <f t="array" ref="B20">IFERROR(INDEX(Auction!$B$5:$B$1000,SMALL(IF(Auction!$C$5:$C$1000=$A$1,ROW(Auction!$C$5:$C$1000)-ROW(Auction!$C$5)+1),ROWS($A$9:A20))),"")</f>
        <v/>
      </c>
      <c r="C20" s="10">
        <f>IFERROR(T(VLOOKUP($A20,Players!$A:$E,2,FALSE)),"")</f>
        <v/>
      </c>
      <c r="D20" s="10">
        <f>IFERROR(T(VLOOKUP($A20,Players!$A:$E,3,FALSE)),"")</f>
        <v/>
      </c>
      <c r="E20" s="8">
        <f>IFERROR(T(VLOOKUP($A20,Players!$A:$E,4,FALSE)),"")</f>
        <v/>
      </c>
      <c r="F20" s="8">
        <f>IFERROR(T(VLOOKUP($A20,Players!$A:$E,5,FALSE)),"")</f>
        <v/>
      </c>
    </row>
    <row r="21">
      <c r="A21" s="5">
        <f t="array" ref="A21">IFERROR(INDEX(Auction!$A$5:$A$1000,SMALL(IF(Auction!$C$5:$C$1000=$A$1,ROW(Auction!$C$5:$C$1000)-ROW(Auction!$C$5)+1),ROWS($A$9:A21))),"")</f>
        <v/>
      </c>
      <c r="B21" s="6">
        <f t="array" ref="B21">IFERROR(INDEX(Auction!$B$5:$B$1000,SMALL(IF(Auction!$C$5:$C$1000=$A$1,ROW(Auction!$C$5:$C$1000)-ROW(Auction!$C$5)+1),ROWS($A$9:A21))),"")</f>
        <v/>
      </c>
      <c r="C21" s="7">
        <f>IFERROR(T(VLOOKUP($A21,Players!$A:$E,2,FALSE)),"")</f>
        <v/>
      </c>
      <c r="D21" s="7">
        <f>IFERROR(T(VLOOKUP($A21,Players!$A:$E,3,FALSE)),"")</f>
        <v/>
      </c>
      <c r="E21" s="5">
        <f>IFERROR(T(VLOOKUP($A21,Players!$A:$E,4,FALSE)),"")</f>
        <v/>
      </c>
      <c r="F21" s="5">
        <f>IFERROR(T(VLOOKUP($A21,Players!$A:$E,5,FALSE)),"")</f>
        <v/>
      </c>
    </row>
    <row r="22">
      <c r="A22" s="8">
        <f t="array" ref="A22">IFERROR(INDEX(Auction!$A$5:$A$1000,SMALL(IF(Auction!$C$5:$C$1000=$A$1,ROW(Auction!$C$5:$C$1000)-ROW(Auction!$C$5)+1),ROWS($A$9:A22))),"")</f>
        <v/>
      </c>
      <c r="B22" s="9">
        <f t="array" ref="B22">IFERROR(INDEX(Auction!$B$5:$B$1000,SMALL(IF(Auction!$C$5:$C$1000=$A$1,ROW(Auction!$C$5:$C$1000)-ROW(Auction!$C$5)+1),ROWS($A$9:A22))),"")</f>
        <v/>
      </c>
      <c r="C22" s="10">
        <f>IFERROR(T(VLOOKUP($A22,Players!$A:$E,2,FALSE)),"")</f>
        <v/>
      </c>
      <c r="D22" s="10">
        <f>IFERROR(T(VLOOKUP($A22,Players!$A:$E,3,FALSE)),"")</f>
        <v/>
      </c>
      <c r="E22" s="8">
        <f>IFERROR(T(VLOOKUP($A22,Players!$A:$E,4,FALSE)),"")</f>
        <v/>
      </c>
      <c r="F22" s="8">
        <f>IFERROR(T(VLOOKUP($A22,Players!$A:$E,5,FALSE)),"")</f>
        <v/>
      </c>
    </row>
    <row r="23">
      <c r="A23" s="5">
        <f t="array" ref="A23">IFERROR(INDEX(Auction!$A$5:$A$1000,SMALL(IF(Auction!$C$5:$C$1000=$A$1,ROW(Auction!$C$5:$C$1000)-ROW(Auction!$C$5)+1),ROWS($A$9:A23))),"")</f>
        <v/>
      </c>
      <c r="B23" s="6">
        <f t="array" ref="B23">IFERROR(INDEX(Auction!$B$5:$B$1000,SMALL(IF(Auction!$C$5:$C$1000=$A$1,ROW(Auction!$C$5:$C$1000)-ROW(Auction!$C$5)+1),ROWS($A$9:A23))),"")</f>
        <v/>
      </c>
      <c r="C23" s="7">
        <f>IFERROR(T(VLOOKUP($A23,Players!$A:$E,2,FALSE)),"")</f>
        <v/>
      </c>
      <c r="D23" s="7">
        <f>IFERROR(T(VLOOKUP($A23,Players!$A:$E,3,FALSE)),"")</f>
        <v/>
      </c>
      <c r="E23" s="5">
        <f>IFERROR(T(VLOOKUP($A23,Players!$A:$E,4,FALSE)),"")</f>
        <v/>
      </c>
      <c r="F23" s="5">
        <f>IFERROR(T(VLOOKUP($A23,Players!$A:$E,5,FALSE)),"")</f>
        <v/>
      </c>
    </row>
    <row r="24">
      <c r="A24" s="8">
        <f t="array" ref="A24">IFERROR(INDEX(Auction!$A$5:$A$1000,SMALL(IF(Auction!$C$5:$C$1000=$A$1,ROW(Auction!$C$5:$C$1000)-ROW(Auction!$C$5)+1),ROWS($A$9:A24))),"")</f>
        <v/>
      </c>
      <c r="B24" s="9">
        <f t="array" ref="B24">IFERROR(INDEX(Auction!$B$5:$B$1000,SMALL(IF(Auction!$C$5:$C$1000=$A$1,ROW(Auction!$C$5:$C$1000)-ROW(Auction!$C$5)+1),ROWS($A$9:A24))),"")</f>
        <v/>
      </c>
      <c r="C24" s="10">
        <f>IFERROR(T(VLOOKUP($A24,Players!$A:$E,2,FALSE)),"")</f>
        <v/>
      </c>
      <c r="D24" s="10">
        <f>IFERROR(T(VLOOKUP($A24,Players!$A:$E,3,FALSE)),"")</f>
        <v/>
      </c>
      <c r="E24" s="8">
        <f>IFERROR(T(VLOOKUP($A24,Players!$A:$E,4,FALSE)),"")</f>
        <v/>
      </c>
      <c r="F24" s="8">
        <f>IFERROR(T(VLOOKUP($A24,Players!$A:$E,5,FALSE)),"")</f>
        <v/>
      </c>
    </row>
    <row r="25">
      <c r="A25" s="5">
        <f t="array" ref="A25">IFERROR(INDEX(Auction!$A$5:$A$1000,SMALL(IF(Auction!$C$5:$C$1000=$A$1,ROW(Auction!$C$5:$C$1000)-ROW(Auction!$C$5)+1),ROWS($A$9:A25))),"")</f>
        <v/>
      </c>
      <c r="B25" s="6">
        <f t="array" ref="B25">IFERROR(INDEX(Auction!$B$5:$B$1000,SMALL(IF(Auction!$C$5:$C$1000=$A$1,ROW(Auction!$C$5:$C$1000)-ROW(Auction!$C$5)+1),ROWS($A$9:A25))),"")</f>
        <v/>
      </c>
      <c r="C25" s="7">
        <f>IFERROR(T(VLOOKUP($A25,Players!$A:$E,2,FALSE)),"")</f>
        <v/>
      </c>
      <c r="D25" s="7">
        <f>IFERROR(T(VLOOKUP($A25,Players!$A:$E,3,FALSE)),"")</f>
        <v/>
      </c>
      <c r="E25" s="5">
        <f>IFERROR(T(VLOOKUP($A25,Players!$A:$E,4,FALSE)),"")</f>
        <v/>
      </c>
      <c r="F25" s="5">
        <f>IFERROR(T(VLOOKUP($A25,Players!$A:$E,5,FALSE)),"")</f>
        <v/>
      </c>
    </row>
    <row r="26">
      <c r="A26" s="8">
        <f t="array" ref="A26">IFERROR(INDEX(Auction!$A$5:$A$1000,SMALL(IF(Auction!$C$5:$C$1000=$A$1,ROW(Auction!$C$5:$C$1000)-ROW(Auction!$C$5)+1),ROWS($A$9:A26))),"")</f>
        <v/>
      </c>
      <c r="B26" s="9">
        <f t="array" ref="B26">IFERROR(INDEX(Auction!$B$5:$B$1000,SMALL(IF(Auction!$C$5:$C$1000=$A$1,ROW(Auction!$C$5:$C$1000)-ROW(Auction!$C$5)+1),ROWS($A$9:A26))),"")</f>
        <v/>
      </c>
      <c r="C26" s="10">
        <f>IFERROR(T(VLOOKUP($A26,Players!$A:$E,2,FALSE)),"")</f>
        <v/>
      </c>
      <c r="D26" s="10">
        <f>IFERROR(T(VLOOKUP($A26,Players!$A:$E,3,FALSE)),"")</f>
        <v/>
      </c>
      <c r="E26" s="8">
        <f>IFERROR(T(VLOOKUP($A26,Players!$A:$E,4,FALSE)),"")</f>
        <v/>
      </c>
      <c r="F26" s="8">
        <f>IFERROR(T(VLOOKUP($A26,Players!$A:$E,5,FALSE)),"")</f>
        <v/>
      </c>
    </row>
    <row r="27">
      <c r="A27" s="5">
        <f t="array" ref="A27">IFERROR(INDEX(Auction!$A$5:$A$1000,SMALL(IF(Auction!$C$5:$C$1000=$A$1,ROW(Auction!$C$5:$C$1000)-ROW(Auction!$C$5)+1),ROWS($A$9:A27))),"")</f>
        <v/>
      </c>
      <c r="B27" s="6">
        <f t="array" ref="B27">IFERROR(INDEX(Auction!$B$5:$B$1000,SMALL(IF(Auction!$C$5:$C$1000=$A$1,ROW(Auction!$C$5:$C$1000)-ROW(Auction!$C$5)+1),ROWS($A$9:A27))),"")</f>
        <v/>
      </c>
      <c r="C27" s="7">
        <f>IFERROR(T(VLOOKUP($A27,Players!$A:$E,2,FALSE)),"")</f>
        <v/>
      </c>
      <c r="D27" s="7">
        <f>IFERROR(T(VLOOKUP($A27,Players!$A:$E,3,FALSE)),"")</f>
        <v/>
      </c>
      <c r="E27" s="5">
        <f>IFERROR(T(VLOOKUP($A27,Players!$A:$E,4,FALSE)),"")</f>
        <v/>
      </c>
      <c r="F27" s="5">
        <f>IFERROR(T(VLOOKUP($A27,Players!$A:$E,5,FALSE)),"")</f>
        <v/>
      </c>
    </row>
    <row r="28">
      <c r="A28" s="8">
        <f t="array" ref="A28">IFERROR(INDEX(Auction!$A$5:$A$1000,SMALL(IF(Auction!$C$5:$C$1000=$A$1,ROW(Auction!$C$5:$C$1000)-ROW(Auction!$C$5)+1),ROWS($A$9:A28))),"")</f>
        <v/>
      </c>
      <c r="B28" s="9">
        <f t="array" ref="B28">IFERROR(INDEX(Auction!$B$5:$B$1000,SMALL(IF(Auction!$C$5:$C$1000=$A$1,ROW(Auction!$C$5:$C$1000)-ROW(Auction!$C$5)+1),ROWS($A$9:A28))),"")</f>
        <v/>
      </c>
      <c r="C28" s="10">
        <f>IFERROR(T(VLOOKUP($A28,Players!$A:$E,2,FALSE)),"")</f>
        <v/>
      </c>
      <c r="D28" s="10">
        <f>IFERROR(T(VLOOKUP($A28,Players!$A:$E,3,FALSE)),"")</f>
        <v/>
      </c>
      <c r="E28" s="8">
        <f>IFERROR(T(VLOOKUP($A28,Players!$A:$E,4,FALSE)),"")</f>
        <v/>
      </c>
      <c r="F28" s="8">
        <f>IFERROR(T(VLOOKUP($A28,Players!$A:$E,5,FALSE)),"")</f>
        <v/>
      </c>
    </row>
    <row r="29">
      <c r="A29" s="5">
        <f t="array" ref="A29">IFERROR(INDEX(Auction!$A$5:$A$1000,SMALL(IF(Auction!$C$5:$C$1000=$A$1,ROW(Auction!$C$5:$C$1000)-ROW(Auction!$C$5)+1),ROWS($A$9:A29))),"")</f>
        <v/>
      </c>
      <c r="B29" s="6">
        <f t="array" ref="B29">IFERROR(INDEX(Auction!$B$5:$B$1000,SMALL(IF(Auction!$C$5:$C$1000=$A$1,ROW(Auction!$C$5:$C$1000)-ROW(Auction!$C$5)+1),ROWS($A$9:A29))),"")</f>
        <v/>
      </c>
      <c r="C29" s="7">
        <f>IFERROR(T(VLOOKUP($A29,Players!$A:$E,2,FALSE)),"")</f>
        <v/>
      </c>
      <c r="D29" s="7">
        <f>IFERROR(T(VLOOKUP($A29,Players!$A:$E,3,FALSE)),"")</f>
        <v/>
      </c>
      <c r="E29" s="5">
        <f>IFERROR(T(VLOOKUP($A29,Players!$A:$E,4,FALSE)),"")</f>
        <v/>
      </c>
      <c r="F29" s="5">
        <f>IFERROR(T(VLOOKUP($A29,Players!$A:$E,5,FALSE)),"")</f>
        <v/>
      </c>
    </row>
    <row r="30">
      <c r="A30" s="8">
        <f t="array" ref="A30">IFERROR(INDEX(Auction!$A$5:$A$1000,SMALL(IF(Auction!$C$5:$C$1000=$A$1,ROW(Auction!$C$5:$C$1000)-ROW(Auction!$C$5)+1),ROWS($A$9:A30))),"")</f>
        <v/>
      </c>
      <c r="B30" s="9">
        <f t="array" ref="B30">IFERROR(INDEX(Auction!$B$5:$B$1000,SMALL(IF(Auction!$C$5:$C$1000=$A$1,ROW(Auction!$C$5:$C$1000)-ROW(Auction!$C$5)+1),ROWS($A$9:A30))),"")</f>
        <v/>
      </c>
      <c r="C30" s="10">
        <f>IFERROR(T(VLOOKUP($A30,Players!$A:$E,2,FALSE)),"")</f>
        <v/>
      </c>
      <c r="D30" s="10">
        <f>IFERROR(T(VLOOKUP($A30,Players!$A:$E,3,FALSE)),"")</f>
        <v/>
      </c>
      <c r="E30" s="8">
        <f>IFERROR(T(VLOOKUP($A30,Players!$A:$E,4,FALSE)),"")</f>
        <v/>
      </c>
      <c r="F30" s="8">
        <f>IFERROR(T(VLOOKUP($A30,Players!$A:$E,5,FALSE)),"")</f>
        <v/>
      </c>
    </row>
    <row r="31">
      <c r="A31" s="5">
        <f t="array" ref="A31">IFERROR(INDEX(Auction!$A$5:$A$1000,SMALL(IF(Auction!$C$5:$C$1000=$A$1,ROW(Auction!$C$5:$C$1000)-ROW(Auction!$C$5)+1),ROWS($A$9:A31))),"")</f>
        <v/>
      </c>
      <c r="B31" s="6">
        <f t="array" ref="B31">IFERROR(INDEX(Auction!$B$5:$B$1000,SMALL(IF(Auction!$C$5:$C$1000=$A$1,ROW(Auction!$C$5:$C$1000)-ROW(Auction!$C$5)+1),ROWS($A$9:A31))),"")</f>
        <v/>
      </c>
      <c r="C31" s="7">
        <f>IFERROR(T(VLOOKUP($A31,Players!$A:$E,2,FALSE)),"")</f>
        <v/>
      </c>
      <c r="D31" s="7">
        <f>IFERROR(T(VLOOKUP($A31,Players!$A:$E,3,FALSE)),"")</f>
        <v/>
      </c>
      <c r="E31" s="5">
        <f>IFERROR(T(VLOOKUP($A31,Players!$A:$E,4,FALSE)),"")</f>
        <v/>
      </c>
      <c r="F31" s="5">
        <f>IFERROR(T(VLOOKUP($A31,Players!$A:$E,5,FALSE)),"")</f>
        <v/>
      </c>
    </row>
    <row r="32">
      <c r="A32" s="8">
        <f t="array" ref="A32">IFERROR(INDEX(Auction!$A$5:$A$1000,SMALL(IF(Auction!$C$5:$C$1000=$A$1,ROW(Auction!$C$5:$C$1000)-ROW(Auction!$C$5)+1),ROWS($A$9:A32))),"")</f>
        <v/>
      </c>
      <c r="B32" s="9">
        <f t="array" ref="B32">IFERROR(INDEX(Auction!$B$5:$B$1000,SMALL(IF(Auction!$C$5:$C$1000=$A$1,ROW(Auction!$C$5:$C$1000)-ROW(Auction!$C$5)+1),ROWS($A$9:A32))),"")</f>
        <v/>
      </c>
      <c r="C32" s="10">
        <f>IFERROR(T(VLOOKUP($A32,Players!$A:$E,2,FALSE)),"")</f>
        <v/>
      </c>
      <c r="D32" s="10">
        <f>IFERROR(T(VLOOKUP($A32,Players!$A:$E,3,FALSE)),"")</f>
        <v/>
      </c>
      <c r="E32" s="8">
        <f>IFERROR(T(VLOOKUP($A32,Players!$A:$E,4,FALSE)),"")</f>
        <v/>
      </c>
      <c r="F32" s="8">
        <f>IFERROR(T(VLOOKUP($A32,Players!$A:$E,5,FALSE)),"")</f>
        <v/>
      </c>
    </row>
    <row r="33">
      <c r="A33" s="5">
        <f t="array" ref="A33">IFERROR(INDEX(Auction!$A$5:$A$1000,SMALL(IF(Auction!$C$5:$C$1000=$A$1,ROW(Auction!$C$5:$C$1000)-ROW(Auction!$C$5)+1),ROWS($A$9:A33))),"")</f>
        <v/>
      </c>
      <c r="B33" s="6">
        <f t="array" ref="B33">IFERROR(INDEX(Auction!$B$5:$B$1000,SMALL(IF(Auction!$C$5:$C$1000=$A$1,ROW(Auction!$C$5:$C$1000)-ROW(Auction!$C$5)+1),ROWS($A$9:A33))),"")</f>
        <v/>
      </c>
      <c r="C33" s="7">
        <f>IFERROR(T(VLOOKUP($A33,Players!$A:$E,2,FALSE)),"")</f>
        <v/>
      </c>
      <c r="D33" s="7">
        <f>IFERROR(T(VLOOKUP($A33,Players!$A:$E,3,FALSE)),"")</f>
        <v/>
      </c>
      <c r="E33" s="5">
        <f>IFERROR(T(VLOOKUP($A33,Players!$A:$E,4,FALSE)),"")</f>
        <v/>
      </c>
      <c r="F33" s="5">
        <f>IFERROR(T(VLOOKUP($A33,Players!$A:$E,5,FALSE)),"")</f>
        <v/>
      </c>
    </row>
    <row r="34">
      <c r="A34" s="8">
        <f t="array" ref="A34">IFERROR(INDEX(Auction!$A$5:$A$1000,SMALL(IF(Auction!$C$5:$C$1000=$A$1,ROW(Auction!$C$5:$C$1000)-ROW(Auction!$C$5)+1),ROWS($A$9:A34))),"")</f>
        <v/>
      </c>
      <c r="B34" s="9">
        <f t="array" ref="B34">IFERROR(INDEX(Auction!$B$5:$B$1000,SMALL(IF(Auction!$C$5:$C$1000=$A$1,ROW(Auction!$C$5:$C$1000)-ROW(Auction!$C$5)+1),ROWS($A$9:A34))),"")</f>
        <v/>
      </c>
      <c r="C34" s="10">
        <f>IFERROR(T(VLOOKUP($A34,Players!$A:$E,2,FALSE)),"")</f>
        <v/>
      </c>
      <c r="D34" s="10">
        <f>IFERROR(T(VLOOKUP($A34,Players!$A:$E,3,FALSE)),"")</f>
        <v/>
      </c>
      <c r="E34" s="8">
        <f>IFERROR(T(VLOOKUP($A34,Players!$A:$E,4,FALSE)),"")</f>
        <v/>
      </c>
      <c r="F34" s="8">
        <f>IFERROR(T(VLOOKUP($A34,Players!$A:$E,5,FALSE)),"")</f>
        <v/>
      </c>
    </row>
    <row r="35">
      <c r="A35" s="5">
        <f t="array" ref="A35">IFERROR(INDEX(Auction!$A$5:$A$1000,SMALL(IF(Auction!$C$5:$C$1000=$A$1,ROW(Auction!$C$5:$C$1000)-ROW(Auction!$C$5)+1),ROWS($A$9:A35))),"")</f>
        <v/>
      </c>
      <c r="B35" s="6">
        <f t="array" ref="B35">IFERROR(INDEX(Auction!$B$5:$B$1000,SMALL(IF(Auction!$C$5:$C$1000=$A$1,ROW(Auction!$C$5:$C$1000)-ROW(Auction!$C$5)+1),ROWS($A$9:A35))),"")</f>
        <v/>
      </c>
      <c r="C35" s="7">
        <f>IFERROR(T(VLOOKUP($A35,Players!$A:$E,2,FALSE)),"")</f>
        <v/>
      </c>
      <c r="D35" s="7">
        <f>IFERROR(T(VLOOKUP($A35,Players!$A:$E,3,FALSE)),"")</f>
        <v/>
      </c>
      <c r="E35" s="5">
        <f>IFERROR(T(VLOOKUP($A35,Players!$A:$E,4,FALSE)),"")</f>
        <v/>
      </c>
      <c r="F35" s="5">
        <f>IFERROR(T(VLOOKUP($A35,Players!$A:$E,5,FALSE)),"")</f>
        <v/>
      </c>
    </row>
    <row r="36">
      <c r="A36" s="8">
        <f t="array" ref="A36">IFERROR(INDEX(Auction!$A$5:$A$1000,SMALL(IF(Auction!$C$5:$C$1000=$A$1,ROW(Auction!$C$5:$C$1000)-ROW(Auction!$C$5)+1),ROWS($A$9:A36))),"")</f>
        <v/>
      </c>
      <c r="B36" s="9">
        <f t="array" ref="B36">IFERROR(INDEX(Auction!$B$5:$B$1000,SMALL(IF(Auction!$C$5:$C$1000=$A$1,ROW(Auction!$C$5:$C$1000)-ROW(Auction!$C$5)+1),ROWS($A$9:A36))),"")</f>
        <v/>
      </c>
      <c r="C36" s="10">
        <f>IFERROR(T(VLOOKUP($A36,Players!$A:$E,2,FALSE)),"")</f>
        <v/>
      </c>
      <c r="D36" s="10">
        <f>IFERROR(T(VLOOKUP($A36,Players!$A:$E,3,FALSE)),"")</f>
        <v/>
      </c>
      <c r="E36" s="8">
        <f>IFERROR(T(VLOOKUP($A36,Players!$A:$E,4,FALSE)),"")</f>
        <v/>
      </c>
      <c r="F36" s="8">
        <f>IFERROR(T(VLOOKUP($A36,Players!$A:$E,5,FALSE)),"")</f>
        <v/>
      </c>
    </row>
    <row r="37">
      <c r="A37" s="5">
        <f t="array" ref="A37">IFERROR(INDEX(Auction!$A$5:$A$1000,SMALL(IF(Auction!$C$5:$C$1000=$A$1,ROW(Auction!$C$5:$C$1000)-ROW(Auction!$C$5)+1),ROWS($A$9:A37))),"")</f>
        <v/>
      </c>
      <c r="B37" s="6">
        <f t="array" ref="B37">IFERROR(INDEX(Auction!$B$5:$B$1000,SMALL(IF(Auction!$C$5:$C$1000=$A$1,ROW(Auction!$C$5:$C$1000)-ROW(Auction!$C$5)+1),ROWS($A$9:A37))),"")</f>
        <v/>
      </c>
      <c r="C37" s="7">
        <f>IFERROR(T(VLOOKUP($A37,Players!$A:$E,2,FALSE)),"")</f>
        <v/>
      </c>
      <c r="D37" s="7">
        <f>IFERROR(T(VLOOKUP($A37,Players!$A:$E,3,FALSE)),"")</f>
        <v/>
      </c>
      <c r="E37" s="5">
        <f>IFERROR(T(VLOOKUP($A37,Players!$A:$E,4,FALSE)),"")</f>
        <v/>
      </c>
      <c r="F37" s="5">
        <f>IFERROR(T(VLOOKUP($A37,Players!$A:$E,5,FALSE)),"")</f>
        <v/>
      </c>
    </row>
    <row r="38">
      <c r="A38" s="8">
        <f t="array" ref="A38">IFERROR(INDEX(Auction!$A$5:$A$1000,SMALL(IF(Auction!$C$5:$C$1000=$A$1,ROW(Auction!$C$5:$C$1000)-ROW(Auction!$C$5)+1),ROWS($A$9:A38))),"")</f>
        <v/>
      </c>
      <c r="B38" s="9">
        <f t="array" ref="B38">IFERROR(INDEX(Auction!$B$5:$B$1000,SMALL(IF(Auction!$C$5:$C$1000=$A$1,ROW(Auction!$C$5:$C$1000)-ROW(Auction!$C$5)+1),ROWS($A$9:A38))),"")</f>
        <v/>
      </c>
      <c r="C38" s="10">
        <f>IFERROR(T(VLOOKUP($A38,Players!$A:$E,2,FALSE)),"")</f>
        <v/>
      </c>
      <c r="D38" s="10">
        <f>IFERROR(T(VLOOKUP($A38,Players!$A:$E,3,FALSE)),"")</f>
        <v/>
      </c>
      <c r="E38" s="8">
        <f>IFERROR(T(VLOOKUP($A38,Players!$A:$E,4,FALSE)),"")</f>
        <v/>
      </c>
      <c r="F38" s="8">
        <f>IFERROR(T(VLOOKUP($A38,Players!$A:$E,5,FALSE)),"")</f>
        <v/>
      </c>
    </row>
    <row r="39">
      <c r="A39" s="5">
        <f t="array" ref="A39">IFERROR(INDEX(Auction!$A$5:$A$1000,SMALL(IF(Auction!$C$5:$C$1000=$A$1,ROW(Auction!$C$5:$C$1000)-ROW(Auction!$C$5)+1),ROWS($A$9:A39))),"")</f>
        <v/>
      </c>
      <c r="B39" s="6">
        <f t="array" ref="B39">IFERROR(INDEX(Auction!$B$5:$B$1000,SMALL(IF(Auction!$C$5:$C$1000=$A$1,ROW(Auction!$C$5:$C$1000)-ROW(Auction!$C$5)+1),ROWS($A$9:A39))),"")</f>
        <v/>
      </c>
      <c r="C39" s="7">
        <f>IFERROR(T(VLOOKUP($A39,Players!$A:$E,2,FALSE)),"")</f>
        <v/>
      </c>
      <c r="D39" s="7">
        <f>IFERROR(T(VLOOKUP($A39,Players!$A:$E,3,FALSE)),"")</f>
        <v/>
      </c>
      <c r="E39" s="5">
        <f>IFERROR(T(VLOOKUP($A39,Players!$A:$E,4,FALSE)),"")</f>
        <v/>
      </c>
      <c r="F39" s="5">
        <f>IFERROR(T(VLOOKUP($A39,Players!$A:$E,5,FALSE)),"")</f>
        <v/>
      </c>
    </row>
    <row r="40">
      <c r="A40" s="8">
        <f t="array" ref="A40">IFERROR(INDEX(Auction!$A$5:$A$1000,SMALL(IF(Auction!$C$5:$C$1000=$A$1,ROW(Auction!$C$5:$C$1000)-ROW(Auction!$C$5)+1),ROWS($A$9:A40))),"")</f>
        <v/>
      </c>
      <c r="B40" s="9">
        <f t="array" ref="B40">IFERROR(INDEX(Auction!$B$5:$B$1000,SMALL(IF(Auction!$C$5:$C$1000=$A$1,ROW(Auction!$C$5:$C$1000)-ROW(Auction!$C$5)+1),ROWS($A$9:A40))),"")</f>
        <v/>
      </c>
      <c r="C40" s="10">
        <f>IFERROR(T(VLOOKUP($A40,Players!$A:$E,2,FALSE)),"")</f>
        <v/>
      </c>
      <c r="D40" s="10">
        <f>IFERROR(T(VLOOKUP($A40,Players!$A:$E,3,FALSE)),"")</f>
        <v/>
      </c>
      <c r="E40" s="8">
        <f>IFERROR(T(VLOOKUP($A40,Players!$A:$E,4,FALSE)),"")</f>
        <v/>
      </c>
      <c r="F40" s="8">
        <f>IFERROR(T(VLOOKUP($A40,Players!$A:$E,5,FALSE)),"")</f>
        <v/>
      </c>
    </row>
    <row r="41">
      <c r="A41" s="5">
        <f t="array" ref="A41">IFERROR(INDEX(Auction!$A$5:$A$1000,SMALL(IF(Auction!$C$5:$C$1000=$A$1,ROW(Auction!$C$5:$C$1000)-ROW(Auction!$C$5)+1),ROWS($A$9:A41))),"")</f>
        <v/>
      </c>
      <c r="B41" s="6">
        <f t="array" ref="B41">IFERROR(INDEX(Auction!$B$5:$B$1000,SMALL(IF(Auction!$C$5:$C$1000=$A$1,ROW(Auction!$C$5:$C$1000)-ROW(Auction!$C$5)+1),ROWS($A$9:A41))),"")</f>
        <v/>
      </c>
      <c r="C41" s="7">
        <f>IFERROR(T(VLOOKUP($A41,Players!$A:$E,2,FALSE)),"")</f>
        <v/>
      </c>
      <c r="D41" s="7">
        <f>IFERROR(T(VLOOKUP($A41,Players!$A:$E,3,FALSE)),"")</f>
        <v/>
      </c>
      <c r="E41" s="5">
        <f>IFERROR(T(VLOOKUP($A41,Players!$A:$E,4,FALSE)),"")</f>
        <v/>
      </c>
      <c r="F41" s="5">
        <f>IFERROR(T(VLOOKUP($A41,Players!$A:$E,5,FALSE)),"")</f>
        <v/>
      </c>
    </row>
    <row r="42">
      <c r="A42" s="8">
        <f t="array" ref="A42">IFERROR(INDEX(Auction!$A$5:$A$1000,SMALL(IF(Auction!$C$5:$C$1000=$A$1,ROW(Auction!$C$5:$C$1000)-ROW(Auction!$C$5)+1),ROWS($A$9:A42))),"")</f>
        <v/>
      </c>
      <c r="B42" s="9">
        <f t="array" ref="B42">IFERROR(INDEX(Auction!$B$5:$B$1000,SMALL(IF(Auction!$C$5:$C$1000=$A$1,ROW(Auction!$C$5:$C$1000)-ROW(Auction!$C$5)+1),ROWS($A$9:A42))),"")</f>
        <v/>
      </c>
      <c r="C42" s="10">
        <f>IFERROR(T(VLOOKUP($A42,Players!$A:$E,2,FALSE)),"")</f>
        <v/>
      </c>
      <c r="D42" s="10">
        <f>IFERROR(T(VLOOKUP($A42,Players!$A:$E,3,FALSE)),"")</f>
        <v/>
      </c>
      <c r="E42" s="8">
        <f>IFERROR(T(VLOOKUP($A42,Players!$A:$E,4,FALSE)),"")</f>
        <v/>
      </c>
      <c r="F42" s="8">
        <f>IFERROR(T(VLOOKUP($A42,Players!$A:$E,5,FALSE)),"")</f>
        <v/>
      </c>
    </row>
    <row r="43">
      <c r="A43" s="5">
        <f t="array" ref="A43">IFERROR(INDEX(Auction!$A$5:$A$1000,SMALL(IF(Auction!$C$5:$C$1000=$A$1,ROW(Auction!$C$5:$C$1000)-ROW(Auction!$C$5)+1),ROWS($A$9:A43))),"")</f>
        <v/>
      </c>
      <c r="B43" s="6">
        <f t="array" ref="B43">IFERROR(INDEX(Auction!$B$5:$B$1000,SMALL(IF(Auction!$C$5:$C$1000=$A$1,ROW(Auction!$C$5:$C$1000)-ROW(Auction!$C$5)+1),ROWS($A$9:A43))),"")</f>
        <v/>
      </c>
      <c r="C43" s="7">
        <f>IFERROR(T(VLOOKUP($A43,Players!$A:$E,2,FALSE)),"")</f>
        <v/>
      </c>
      <c r="D43" s="7">
        <f>IFERROR(T(VLOOKUP($A43,Players!$A:$E,3,FALSE)),"")</f>
        <v/>
      </c>
      <c r="E43" s="5">
        <f>IFERROR(T(VLOOKUP($A43,Players!$A:$E,4,FALSE)),"")</f>
        <v/>
      </c>
      <c r="F43" s="5">
        <f>IFERROR(T(VLOOKUP($A43,Players!$A:$E,5,FALSE)),"")</f>
        <v/>
      </c>
    </row>
    <row r="44">
      <c r="A44" s="8">
        <f t="array" ref="A44">IFERROR(INDEX(Auction!$A$5:$A$1000,SMALL(IF(Auction!$C$5:$C$1000=$A$1,ROW(Auction!$C$5:$C$1000)-ROW(Auction!$C$5)+1),ROWS($A$9:A44))),"")</f>
        <v/>
      </c>
      <c r="B44" s="9">
        <f t="array" ref="B44">IFERROR(INDEX(Auction!$B$5:$B$1000,SMALL(IF(Auction!$C$5:$C$1000=$A$1,ROW(Auction!$C$5:$C$1000)-ROW(Auction!$C$5)+1),ROWS($A$9:A44))),"")</f>
        <v/>
      </c>
      <c r="C44" s="10">
        <f>IFERROR(T(VLOOKUP($A44,Players!$A:$E,2,FALSE)),"")</f>
        <v/>
      </c>
      <c r="D44" s="10">
        <f>IFERROR(T(VLOOKUP($A44,Players!$A:$E,3,FALSE)),"")</f>
        <v/>
      </c>
      <c r="E44" s="8">
        <f>IFERROR(T(VLOOKUP($A44,Players!$A:$E,4,FALSE)),"")</f>
        <v/>
      </c>
      <c r="F44" s="8">
        <f>IFERROR(T(VLOOKUP($A44,Players!$A:$E,5,FALSE)),"")</f>
        <v/>
      </c>
    </row>
    <row r="45">
      <c r="A45" s="5">
        <f t="array" ref="A45">IFERROR(INDEX(Auction!$A$5:$A$1000,SMALL(IF(Auction!$C$5:$C$1000=$A$1,ROW(Auction!$C$5:$C$1000)-ROW(Auction!$C$5)+1),ROWS($A$9:A45))),"")</f>
        <v/>
      </c>
      <c r="B45" s="6">
        <f t="array" ref="B45">IFERROR(INDEX(Auction!$B$5:$B$1000,SMALL(IF(Auction!$C$5:$C$1000=$A$1,ROW(Auction!$C$5:$C$1000)-ROW(Auction!$C$5)+1),ROWS($A$9:A45))),"")</f>
        <v/>
      </c>
      <c r="C45" s="7">
        <f>IFERROR(T(VLOOKUP($A45,Players!$A:$E,2,FALSE)),"")</f>
        <v/>
      </c>
      <c r="D45" s="7">
        <f>IFERROR(T(VLOOKUP($A45,Players!$A:$E,3,FALSE)),"")</f>
        <v/>
      </c>
      <c r="E45" s="5">
        <f>IFERROR(T(VLOOKUP($A45,Players!$A:$E,4,FALSE)),"")</f>
        <v/>
      </c>
      <c r="F45" s="5">
        <f>IFERROR(T(VLOOKUP($A45,Players!$A:$E,5,FALSE)),"")</f>
        <v/>
      </c>
    </row>
    <row r="46">
      <c r="A46" s="8">
        <f t="array" ref="A46">IFERROR(INDEX(Auction!$A$5:$A$1000,SMALL(IF(Auction!$C$5:$C$1000=$A$1,ROW(Auction!$C$5:$C$1000)-ROW(Auction!$C$5)+1),ROWS($A$9:A46))),"")</f>
        <v/>
      </c>
      <c r="B46" s="9">
        <f t="array" ref="B46">IFERROR(INDEX(Auction!$B$5:$B$1000,SMALL(IF(Auction!$C$5:$C$1000=$A$1,ROW(Auction!$C$5:$C$1000)-ROW(Auction!$C$5)+1),ROWS($A$9:A46))),"")</f>
        <v/>
      </c>
      <c r="C46" s="10">
        <f>IFERROR(T(VLOOKUP($A46,Players!$A:$E,2,FALSE)),"")</f>
        <v/>
      </c>
      <c r="D46" s="10">
        <f>IFERROR(T(VLOOKUP($A46,Players!$A:$E,3,FALSE)),"")</f>
        <v/>
      </c>
      <c r="E46" s="8">
        <f>IFERROR(T(VLOOKUP($A46,Players!$A:$E,4,FALSE)),"")</f>
        <v/>
      </c>
      <c r="F46" s="8">
        <f>IFERROR(T(VLOOKUP($A46,Players!$A:$E,5,FALSE)),"")</f>
        <v/>
      </c>
    </row>
    <row r="47">
      <c r="A47" s="5">
        <f t="array" ref="A47">IFERROR(INDEX(Auction!$A$5:$A$1000,SMALL(IF(Auction!$C$5:$C$1000=$A$1,ROW(Auction!$C$5:$C$1000)-ROW(Auction!$C$5)+1),ROWS($A$9:A47))),"")</f>
        <v/>
      </c>
      <c r="B47" s="6">
        <f t="array" ref="B47">IFERROR(INDEX(Auction!$B$5:$B$1000,SMALL(IF(Auction!$C$5:$C$1000=$A$1,ROW(Auction!$C$5:$C$1000)-ROW(Auction!$C$5)+1),ROWS($A$9:A47))),"")</f>
        <v/>
      </c>
      <c r="C47" s="7">
        <f>IFERROR(T(VLOOKUP($A47,Players!$A:$E,2,FALSE)),"")</f>
        <v/>
      </c>
      <c r="D47" s="7">
        <f>IFERROR(T(VLOOKUP($A47,Players!$A:$E,3,FALSE)),"")</f>
        <v/>
      </c>
      <c r="E47" s="5">
        <f>IFERROR(T(VLOOKUP($A47,Players!$A:$E,4,FALSE)),"")</f>
        <v/>
      </c>
      <c r="F47" s="5">
        <f>IFERROR(T(VLOOKUP($A47,Players!$A:$E,5,FALSE)),"")</f>
        <v/>
      </c>
    </row>
    <row r="48">
      <c r="A48" s="8">
        <f t="array" ref="A48">IFERROR(INDEX(Auction!$A$5:$A$1000,SMALL(IF(Auction!$C$5:$C$1000=$A$1,ROW(Auction!$C$5:$C$1000)-ROW(Auction!$C$5)+1),ROWS($A$9:A48))),"")</f>
        <v/>
      </c>
      <c r="B48" s="9">
        <f t="array" ref="B48">IFERROR(INDEX(Auction!$B$5:$B$1000,SMALL(IF(Auction!$C$5:$C$1000=$A$1,ROW(Auction!$C$5:$C$1000)-ROW(Auction!$C$5)+1),ROWS($A$9:A48))),"")</f>
        <v/>
      </c>
      <c r="C48" s="10">
        <f>IFERROR(T(VLOOKUP($A48,Players!$A:$E,2,FALSE)),"")</f>
        <v/>
      </c>
      <c r="D48" s="10">
        <f>IFERROR(T(VLOOKUP($A48,Players!$A:$E,3,FALSE)),"")</f>
        <v/>
      </c>
      <c r="E48" s="8">
        <f>IFERROR(T(VLOOKUP($A48,Players!$A:$E,4,FALSE)),"")</f>
        <v/>
      </c>
      <c r="F48" s="8">
        <f>IFERROR(T(VLOOKUP($A48,Players!$A:$E,5,FALSE)),"")</f>
        <v/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5E8C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8" customWidth="1" min="4" max="4"/>
    <col width="14" customWidth="1" min="5" max="5"/>
    <col width="15" customWidth="1" min="6" max="6"/>
  </cols>
  <sheetData>
    <row r="1" ht="28" customHeight="1">
      <c r="A1" s="22">
        <f>Balance!A11</f>
        <v/>
      </c>
    </row>
    <row r="3">
      <c r="A3" s="23" t="inlineStr">
        <is>
          <t>Purse (Cr)</t>
        </is>
      </c>
      <c r="B3" s="24">
        <f>Balance!B11</f>
        <v/>
      </c>
    </row>
    <row r="4">
      <c r="A4" s="23" t="inlineStr">
        <is>
          <t>Spent (Cr)</t>
        </is>
      </c>
      <c r="B4" s="24">
        <f>Balance!C11</f>
        <v/>
      </c>
    </row>
    <row r="5">
      <c r="A5" s="25" t="inlineStr">
        <is>
          <t>Balance (Cr)</t>
        </is>
      </c>
      <c r="B5" s="26">
        <f>Balance!D11</f>
        <v/>
      </c>
    </row>
    <row r="6">
      <c r="A6" s="27" t="inlineStr">
        <is>
          <t>Players</t>
        </is>
      </c>
      <c r="B6" s="28">
        <f>Balance!E11</f>
        <v/>
      </c>
    </row>
    <row r="8">
      <c r="A8" s="3" t="inlineStr">
        <is>
          <t>Player</t>
        </is>
      </c>
      <c r="B8" s="3" t="inlineStr">
        <is>
          <t>Price (Cr)</t>
        </is>
      </c>
      <c r="C8" s="3" t="inlineStr">
        <is>
          <t>Role</t>
        </is>
      </c>
      <c r="D8" s="3" t="inlineStr">
        <is>
          <t>Hand</t>
        </is>
      </c>
      <c r="E8" s="3" t="inlineStr">
        <is>
          <t>Country</t>
        </is>
      </c>
      <c r="F8" s="3" t="inlineStr">
        <is>
          <t>City</t>
        </is>
      </c>
    </row>
    <row r="9">
      <c r="A9" s="5">
        <f t="array" ref="A9">IFERROR(INDEX(Auction!$A$5:$A$1000,SMALL(IF(Auction!$C$5:$C$1000=$A$1,ROW(Auction!$C$5:$C$1000)-ROW(Auction!$C$5)+1),ROWS($A$9:A9))),"")</f>
        <v/>
      </c>
      <c r="B9" s="6">
        <f t="array" ref="B9">IFERROR(INDEX(Auction!$B$5:$B$1000,SMALL(IF(Auction!$C$5:$C$1000=$A$1,ROW(Auction!$C$5:$C$1000)-ROW(Auction!$C$5)+1),ROWS($A$9:A9))),"")</f>
        <v/>
      </c>
      <c r="C9" s="7">
        <f>IFERROR(T(VLOOKUP($A9,Players!$A:$E,2,FALSE)),"")</f>
        <v/>
      </c>
      <c r="D9" s="7">
        <f>IFERROR(T(VLOOKUP($A9,Players!$A:$E,3,FALSE)),"")</f>
        <v/>
      </c>
      <c r="E9" s="5">
        <f>IFERROR(T(VLOOKUP($A9,Players!$A:$E,4,FALSE)),"")</f>
        <v/>
      </c>
      <c r="F9" s="5">
        <f>IFERROR(T(VLOOKUP($A9,Players!$A:$E,5,FALSE)),"")</f>
        <v/>
      </c>
    </row>
    <row r="10">
      <c r="A10" s="8">
        <f t="array" ref="A10">IFERROR(INDEX(Auction!$A$5:$A$1000,SMALL(IF(Auction!$C$5:$C$1000=$A$1,ROW(Auction!$C$5:$C$1000)-ROW(Auction!$C$5)+1),ROWS($A$9:A10))),"")</f>
        <v/>
      </c>
      <c r="B10" s="9">
        <f t="array" ref="B10">IFERROR(INDEX(Auction!$B$5:$B$1000,SMALL(IF(Auction!$C$5:$C$1000=$A$1,ROW(Auction!$C$5:$C$1000)-ROW(Auction!$C$5)+1),ROWS($A$9:A10))),"")</f>
        <v/>
      </c>
      <c r="C10" s="10">
        <f>IFERROR(T(VLOOKUP($A10,Players!$A:$E,2,FALSE)),"")</f>
        <v/>
      </c>
      <c r="D10" s="10">
        <f>IFERROR(T(VLOOKUP($A10,Players!$A:$E,3,FALSE)),"")</f>
        <v/>
      </c>
      <c r="E10" s="8">
        <f>IFERROR(T(VLOOKUP($A10,Players!$A:$E,4,FALSE)),"")</f>
        <v/>
      </c>
      <c r="F10" s="8">
        <f>IFERROR(T(VLOOKUP($A10,Players!$A:$E,5,FALSE)),"")</f>
        <v/>
      </c>
    </row>
    <row r="11">
      <c r="A11" s="5">
        <f t="array" ref="A11">IFERROR(INDEX(Auction!$A$5:$A$1000,SMALL(IF(Auction!$C$5:$C$1000=$A$1,ROW(Auction!$C$5:$C$1000)-ROW(Auction!$C$5)+1),ROWS($A$9:A11))),"")</f>
        <v/>
      </c>
      <c r="B11" s="6">
        <f t="array" ref="B11">IFERROR(INDEX(Auction!$B$5:$B$1000,SMALL(IF(Auction!$C$5:$C$1000=$A$1,ROW(Auction!$C$5:$C$1000)-ROW(Auction!$C$5)+1),ROWS($A$9:A11))),"")</f>
        <v/>
      </c>
      <c r="C11" s="7">
        <f>IFERROR(T(VLOOKUP($A11,Players!$A:$E,2,FALSE)),"")</f>
        <v/>
      </c>
      <c r="D11" s="7">
        <f>IFERROR(T(VLOOKUP($A11,Players!$A:$E,3,FALSE)),"")</f>
        <v/>
      </c>
      <c r="E11" s="5">
        <f>IFERROR(T(VLOOKUP($A11,Players!$A:$E,4,FALSE)),"")</f>
        <v/>
      </c>
      <c r="F11" s="5">
        <f>IFERROR(T(VLOOKUP($A11,Players!$A:$E,5,FALSE)),"")</f>
        <v/>
      </c>
    </row>
    <row r="12">
      <c r="A12" s="8">
        <f t="array" ref="A12">IFERROR(INDEX(Auction!$A$5:$A$1000,SMALL(IF(Auction!$C$5:$C$1000=$A$1,ROW(Auction!$C$5:$C$1000)-ROW(Auction!$C$5)+1),ROWS($A$9:A12))),"")</f>
        <v/>
      </c>
      <c r="B12" s="9">
        <f t="array" ref="B12">IFERROR(INDEX(Auction!$B$5:$B$1000,SMALL(IF(Auction!$C$5:$C$1000=$A$1,ROW(Auction!$C$5:$C$1000)-ROW(Auction!$C$5)+1),ROWS($A$9:A12))),"")</f>
        <v/>
      </c>
      <c r="C12" s="10">
        <f>IFERROR(T(VLOOKUP($A12,Players!$A:$E,2,FALSE)),"")</f>
        <v/>
      </c>
      <c r="D12" s="10">
        <f>IFERROR(T(VLOOKUP($A12,Players!$A:$E,3,FALSE)),"")</f>
        <v/>
      </c>
      <c r="E12" s="8">
        <f>IFERROR(T(VLOOKUP($A12,Players!$A:$E,4,FALSE)),"")</f>
        <v/>
      </c>
      <c r="F12" s="8">
        <f>IFERROR(T(VLOOKUP($A12,Players!$A:$E,5,FALSE)),"")</f>
        <v/>
      </c>
    </row>
    <row r="13">
      <c r="A13" s="5">
        <f t="array" ref="A13">IFERROR(INDEX(Auction!$A$5:$A$1000,SMALL(IF(Auction!$C$5:$C$1000=$A$1,ROW(Auction!$C$5:$C$1000)-ROW(Auction!$C$5)+1),ROWS($A$9:A13))),"")</f>
        <v/>
      </c>
      <c r="B13" s="6">
        <f t="array" ref="B13">IFERROR(INDEX(Auction!$B$5:$B$1000,SMALL(IF(Auction!$C$5:$C$1000=$A$1,ROW(Auction!$C$5:$C$1000)-ROW(Auction!$C$5)+1),ROWS($A$9:A13))),"")</f>
        <v/>
      </c>
      <c r="C13" s="7">
        <f>IFERROR(T(VLOOKUP($A13,Players!$A:$E,2,FALSE)),"")</f>
        <v/>
      </c>
      <c r="D13" s="7">
        <f>IFERROR(T(VLOOKUP($A13,Players!$A:$E,3,FALSE)),"")</f>
        <v/>
      </c>
      <c r="E13" s="5">
        <f>IFERROR(T(VLOOKUP($A13,Players!$A:$E,4,FALSE)),"")</f>
        <v/>
      </c>
      <c r="F13" s="5">
        <f>IFERROR(T(VLOOKUP($A13,Players!$A:$E,5,FALSE)),"")</f>
        <v/>
      </c>
    </row>
    <row r="14">
      <c r="A14" s="8">
        <f t="array" ref="A14">IFERROR(INDEX(Auction!$A$5:$A$1000,SMALL(IF(Auction!$C$5:$C$1000=$A$1,ROW(Auction!$C$5:$C$1000)-ROW(Auction!$C$5)+1),ROWS($A$9:A14))),"")</f>
        <v/>
      </c>
      <c r="B14" s="9">
        <f t="array" ref="B14">IFERROR(INDEX(Auction!$B$5:$B$1000,SMALL(IF(Auction!$C$5:$C$1000=$A$1,ROW(Auction!$C$5:$C$1000)-ROW(Auction!$C$5)+1),ROWS($A$9:A14))),"")</f>
        <v/>
      </c>
      <c r="C14" s="10">
        <f>IFERROR(T(VLOOKUP($A14,Players!$A:$E,2,FALSE)),"")</f>
        <v/>
      </c>
      <c r="D14" s="10">
        <f>IFERROR(T(VLOOKUP($A14,Players!$A:$E,3,FALSE)),"")</f>
        <v/>
      </c>
      <c r="E14" s="8">
        <f>IFERROR(T(VLOOKUP($A14,Players!$A:$E,4,FALSE)),"")</f>
        <v/>
      </c>
      <c r="F14" s="8">
        <f>IFERROR(T(VLOOKUP($A14,Players!$A:$E,5,FALSE)),"")</f>
        <v/>
      </c>
    </row>
    <row r="15">
      <c r="A15" s="5">
        <f t="array" ref="A15">IFERROR(INDEX(Auction!$A$5:$A$1000,SMALL(IF(Auction!$C$5:$C$1000=$A$1,ROW(Auction!$C$5:$C$1000)-ROW(Auction!$C$5)+1),ROWS($A$9:A15))),"")</f>
        <v/>
      </c>
      <c r="B15" s="6">
        <f t="array" ref="B15">IFERROR(INDEX(Auction!$B$5:$B$1000,SMALL(IF(Auction!$C$5:$C$1000=$A$1,ROW(Auction!$C$5:$C$1000)-ROW(Auction!$C$5)+1),ROWS($A$9:A15))),"")</f>
        <v/>
      </c>
      <c r="C15" s="7">
        <f>IFERROR(T(VLOOKUP($A15,Players!$A:$E,2,FALSE)),"")</f>
        <v/>
      </c>
      <c r="D15" s="7">
        <f>IFERROR(T(VLOOKUP($A15,Players!$A:$E,3,FALSE)),"")</f>
        <v/>
      </c>
      <c r="E15" s="5">
        <f>IFERROR(T(VLOOKUP($A15,Players!$A:$E,4,FALSE)),"")</f>
        <v/>
      </c>
      <c r="F15" s="5">
        <f>IFERROR(T(VLOOKUP($A15,Players!$A:$E,5,FALSE)),"")</f>
        <v/>
      </c>
    </row>
    <row r="16">
      <c r="A16" s="8">
        <f t="array" ref="A16">IFERROR(INDEX(Auction!$A$5:$A$1000,SMALL(IF(Auction!$C$5:$C$1000=$A$1,ROW(Auction!$C$5:$C$1000)-ROW(Auction!$C$5)+1),ROWS($A$9:A16))),"")</f>
        <v/>
      </c>
      <c r="B16" s="9">
        <f t="array" ref="B16">IFERROR(INDEX(Auction!$B$5:$B$1000,SMALL(IF(Auction!$C$5:$C$1000=$A$1,ROW(Auction!$C$5:$C$1000)-ROW(Auction!$C$5)+1),ROWS($A$9:A16))),"")</f>
        <v/>
      </c>
      <c r="C16" s="10">
        <f>IFERROR(T(VLOOKUP($A16,Players!$A:$E,2,FALSE)),"")</f>
        <v/>
      </c>
      <c r="D16" s="10">
        <f>IFERROR(T(VLOOKUP($A16,Players!$A:$E,3,FALSE)),"")</f>
        <v/>
      </c>
      <c r="E16" s="8">
        <f>IFERROR(T(VLOOKUP($A16,Players!$A:$E,4,FALSE)),"")</f>
        <v/>
      </c>
      <c r="F16" s="8">
        <f>IFERROR(T(VLOOKUP($A16,Players!$A:$E,5,FALSE)),"")</f>
        <v/>
      </c>
    </row>
    <row r="17">
      <c r="A17" s="5">
        <f t="array" ref="A17">IFERROR(INDEX(Auction!$A$5:$A$1000,SMALL(IF(Auction!$C$5:$C$1000=$A$1,ROW(Auction!$C$5:$C$1000)-ROW(Auction!$C$5)+1),ROWS($A$9:A17))),"")</f>
        <v/>
      </c>
      <c r="B17" s="6">
        <f t="array" ref="B17">IFERROR(INDEX(Auction!$B$5:$B$1000,SMALL(IF(Auction!$C$5:$C$1000=$A$1,ROW(Auction!$C$5:$C$1000)-ROW(Auction!$C$5)+1),ROWS($A$9:A17))),"")</f>
        <v/>
      </c>
      <c r="C17" s="7">
        <f>IFERROR(T(VLOOKUP($A17,Players!$A:$E,2,FALSE)),"")</f>
        <v/>
      </c>
      <c r="D17" s="7">
        <f>IFERROR(T(VLOOKUP($A17,Players!$A:$E,3,FALSE)),"")</f>
        <v/>
      </c>
      <c r="E17" s="5">
        <f>IFERROR(T(VLOOKUP($A17,Players!$A:$E,4,FALSE)),"")</f>
        <v/>
      </c>
      <c r="F17" s="5">
        <f>IFERROR(T(VLOOKUP($A17,Players!$A:$E,5,FALSE)),"")</f>
        <v/>
      </c>
    </row>
    <row r="18">
      <c r="A18" s="8">
        <f t="array" ref="A18">IFERROR(INDEX(Auction!$A$5:$A$1000,SMALL(IF(Auction!$C$5:$C$1000=$A$1,ROW(Auction!$C$5:$C$1000)-ROW(Auction!$C$5)+1),ROWS($A$9:A18))),"")</f>
        <v/>
      </c>
      <c r="B18" s="9">
        <f t="array" ref="B18">IFERROR(INDEX(Auction!$B$5:$B$1000,SMALL(IF(Auction!$C$5:$C$1000=$A$1,ROW(Auction!$C$5:$C$1000)-ROW(Auction!$C$5)+1),ROWS($A$9:A18))),"")</f>
        <v/>
      </c>
      <c r="C18" s="10">
        <f>IFERROR(T(VLOOKUP($A18,Players!$A:$E,2,FALSE)),"")</f>
        <v/>
      </c>
      <c r="D18" s="10">
        <f>IFERROR(T(VLOOKUP($A18,Players!$A:$E,3,FALSE)),"")</f>
        <v/>
      </c>
      <c r="E18" s="8">
        <f>IFERROR(T(VLOOKUP($A18,Players!$A:$E,4,FALSE)),"")</f>
        <v/>
      </c>
      <c r="F18" s="8">
        <f>IFERROR(T(VLOOKUP($A18,Players!$A:$E,5,FALSE)),"")</f>
        <v/>
      </c>
    </row>
    <row r="19">
      <c r="A19" s="5">
        <f t="array" ref="A19">IFERROR(INDEX(Auction!$A$5:$A$1000,SMALL(IF(Auction!$C$5:$C$1000=$A$1,ROW(Auction!$C$5:$C$1000)-ROW(Auction!$C$5)+1),ROWS($A$9:A19))),"")</f>
        <v/>
      </c>
      <c r="B19" s="6">
        <f t="array" ref="B19">IFERROR(INDEX(Auction!$B$5:$B$1000,SMALL(IF(Auction!$C$5:$C$1000=$A$1,ROW(Auction!$C$5:$C$1000)-ROW(Auction!$C$5)+1),ROWS($A$9:A19))),"")</f>
        <v/>
      </c>
      <c r="C19" s="7">
        <f>IFERROR(T(VLOOKUP($A19,Players!$A:$E,2,FALSE)),"")</f>
        <v/>
      </c>
      <c r="D19" s="7">
        <f>IFERROR(T(VLOOKUP($A19,Players!$A:$E,3,FALSE)),"")</f>
        <v/>
      </c>
      <c r="E19" s="5">
        <f>IFERROR(T(VLOOKUP($A19,Players!$A:$E,4,FALSE)),"")</f>
        <v/>
      </c>
      <c r="F19" s="5">
        <f>IFERROR(T(VLOOKUP($A19,Players!$A:$E,5,FALSE)),"")</f>
        <v/>
      </c>
    </row>
    <row r="20">
      <c r="A20" s="8">
        <f t="array" ref="A20">IFERROR(INDEX(Auction!$A$5:$A$1000,SMALL(IF(Auction!$C$5:$C$1000=$A$1,ROW(Auction!$C$5:$C$1000)-ROW(Auction!$C$5)+1),ROWS($A$9:A20))),"")</f>
        <v/>
      </c>
      <c r="B20" s="9">
        <f t="array" ref="B20">IFERROR(INDEX(Auction!$B$5:$B$1000,SMALL(IF(Auction!$C$5:$C$1000=$A$1,ROW(Auction!$C$5:$C$1000)-ROW(Auction!$C$5)+1),ROWS($A$9:A20))),"")</f>
        <v/>
      </c>
      <c r="C20" s="10">
        <f>IFERROR(T(VLOOKUP($A20,Players!$A:$E,2,FALSE)),"")</f>
        <v/>
      </c>
      <c r="D20" s="10">
        <f>IFERROR(T(VLOOKUP($A20,Players!$A:$E,3,FALSE)),"")</f>
        <v/>
      </c>
      <c r="E20" s="8">
        <f>IFERROR(T(VLOOKUP($A20,Players!$A:$E,4,FALSE)),"")</f>
        <v/>
      </c>
      <c r="F20" s="8">
        <f>IFERROR(T(VLOOKUP($A20,Players!$A:$E,5,FALSE)),"")</f>
        <v/>
      </c>
    </row>
    <row r="21">
      <c r="A21" s="5">
        <f t="array" ref="A21">IFERROR(INDEX(Auction!$A$5:$A$1000,SMALL(IF(Auction!$C$5:$C$1000=$A$1,ROW(Auction!$C$5:$C$1000)-ROW(Auction!$C$5)+1),ROWS($A$9:A21))),"")</f>
        <v/>
      </c>
      <c r="B21" s="6">
        <f t="array" ref="B21">IFERROR(INDEX(Auction!$B$5:$B$1000,SMALL(IF(Auction!$C$5:$C$1000=$A$1,ROW(Auction!$C$5:$C$1000)-ROW(Auction!$C$5)+1),ROWS($A$9:A21))),"")</f>
        <v/>
      </c>
      <c r="C21" s="7">
        <f>IFERROR(T(VLOOKUP($A21,Players!$A:$E,2,FALSE)),"")</f>
        <v/>
      </c>
      <c r="D21" s="7">
        <f>IFERROR(T(VLOOKUP($A21,Players!$A:$E,3,FALSE)),"")</f>
        <v/>
      </c>
      <c r="E21" s="5">
        <f>IFERROR(T(VLOOKUP($A21,Players!$A:$E,4,FALSE)),"")</f>
        <v/>
      </c>
      <c r="F21" s="5">
        <f>IFERROR(T(VLOOKUP($A21,Players!$A:$E,5,FALSE)),"")</f>
        <v/>
      </c>
    </row>
    <row r="22">
      <c r="A22" s="8">
        <f t="array" ref="A22">IFERROR(INDEX(Auction!$A$5:$A$1000,SMALL(IF(Auction!$C$5:$C$1000=$A$1,ROW(Auction!$C$5:$C$1000)-ROW(Auction!$C$5)+1),ROWS($A$9:A22))),"")</f>
        <v/>
      </c>
      <c r="B22" s="9">
        <f t="array" ref="B22">IFERROR(INDEX(Auction!$B$5:$B$1000,SMALL(IF(Auction!$C$5:$C$1000=$A$1,ROW(Auction!$C$5:$C$1000)-ROW(Auction!$C$5)+1),ROWS($A$9:A22))),"")</f>
        <v/>
      </c>
      <c r="C22" s="10">
        <f>IFERROR(T(VLOOKUP($A22,Players!$A:$E,2,FALSE)),"")</f>
        <v/>
      </c>
      <c r="D22" s="10">
        <f>IFERROR(T(VLOOKUP($A22,Players!$A:$E,3,FALSE)),"")</f>
        <v/>
      </c>
      <c r="E22" s="8">
        <f>IFERROR(T(VLOOKUP($A22,Players!$A:$E,4,FALSE)),"")</f>
        <v/>
      </c>
      <c r="F22" s="8">
        <f>IFERROR(T(VLOOKUP($A22,Players!$A:$E,5,FALSE)),"")</f>
        <v/>
      </c>
    </row>
    <row r="23">
      <c r="A23" s="5">
        <f t="array" ref="A23">IFERROR(INDEX(Auction!$A$5:$A$1000,SMALL(IF(Auction!$C$5:$C$1000=$A$1,ROW(Auction!$C$5:$C$1000)-ROW(Auction!$C$5)+1),ROWS($A$9:A23))),"")</f>
        <v/>
      </c>
      <c r="B23" s="6">
        <f t="array" ref="B23">IFERROR(INDEX(Auction!$B$5:$B$1000,SMALL(IF(Auction!$C$5:$C$1000=$A$1,ROW(Auction!$C$5:$C$1000)-ROW(Auction!$C$5)+1),ROWS($A$9:A23))),"")</f>
        <v/>
      </c>
      <c r="C23" s="7">
        <f>IFERROR(T(VLOOKUP($A23,Players!$A:$E,2,FALSE)),"")</f>
        <v/>
      </c>
      <c r="D23" s="7">
        <f>IFERROR(T(VLOOKUP($A23,Players!$A:$E,3,FALSE)),"")</f>
        <v/>
      </c>
      <c r="E23" s="5">
        <f>IFERROR(T(VLOOKUP($A23,Players!$A:$E,4,FALSE)),"")</f>
        <v/>
      </c>
      <c r="F23" s="5">
        <f>IFERROR(T(VLOOKUP($A23,Players!$A:$E,5,FALSE)),"")</f>
        <v/>
      </c>
    </row>
    <row r="24">
      <c r="A24" s="8">
        <f t="array" ref="A24">IFERROR(INDEX(Auction!$A$5:$A$1000,SMALL(IF(Auction!$C$5:$C$1000=$A$1,ROW(Auction!$C$5:$C$1000)-ROW(Auction!$C$5)+1),ROWS($A$9:A24))),"")</f>
        <v/>
      </c>
      <c r="B24" s="9">
        <f t="array" ref="B24">IFERROR(INDEX(Auction!$B$5:$B$1000,SMALL(IF(Auction!$C$5:$C$1000=$A$1,ROW(Auction!$C$5:$C$1000)-ROW(Auction!$C$5)+1),ROWS($A$9:A24))),"")</f>
        <v/>
      </c>
      <c r="C24" s="10">
        <f>IFERROR(T(VLOOKUP($A24,Players!$A:$E,2,FALSE)),"")</f>
        <v/>
      </c>
      <c r="D24" s="10">
        <f>IFERROR(T(VLOOKUP($A24,Players!$A:$E,3,FALSE)),"")</f>
        <v/>
      </c>
      <c r="E24" s="8">
        <f>IFERROR(T(VLOOKUP($A24,Players!$A:$E,4,FALSE)),"")</f>
        <v/>
      </c>
      <c r="F24" s="8">
        <f>IFERROR(T(VLOOKUP($A24,Players!$A:$E,5,FALSE)),"")</f>
        <v/>
      </c>
    </row>
    <row r="25">
      <c r="A25" s="5">
        <f t="array" ref="A25">IFERROR(INDEX(Auction!$A$5:$A$1000,SMALL(IF(Auction!$C$5:$C$1000=$A$1,ROW(Auction!$C$5:$C$1000)-ROW(Auction!$C$5)+1),ROWS($A$9:A25))),"")</f>
        <v/>
      </c>
      <c r="B25" s="6">
        <f t="array" ref="B25">IFERROR(INDEX(Auction!$B$5:$B$1000,SMALL(IF(Auction!$C$5:$C$1000=$A$1,ROW(Auction!$C$5:$C$1000)-ROW(Auction!$C$5)+1),ROWS($A$9:A25))),"")</f>
        <v/>
      </c>
      <c r="C25" s="7">
        <f>IFERROR(T(VLOOKUP($A25,Players!$A:$E,2,FALSE)),"")</f>
        <v/>
      </c>
      <c r="D25" s="7">
        <f>IFERROR(T(VLOOKUP($A25,Players!$A:$E,3,FALSE)),"")</f>
        <v/>
      </c>
      <c r="E25" s="5">
        <f>IFERROR(T(VLOOKUP($A25,Players!$A:$E,4,FALSE)),"")</f>
        <v/>
      </c>
      <c r="F25" s="5">
        <f>IFERROR(T(VLOOKUP($A25,Players!$A:$E,5,FALSE)),"")</f>
        <v/>
      </c>
    </row>
    <row r="26">
      <c r="A26" s="8">
        <f t="array" ref="A26">IFERROR(INDEX(Auction!$A$5:$A$1000,SMALL(IF(Auction!$C$5:$C$1000=$A$1,ROW(Auction!$C$5:$C$1000)-ROW(Auction!$C$5)+1),ROWS($A$9:A26))),"")</f>
        <v/>
      </c>
      <c r="B26" s="9">
        <f t="array" ref="B26">IFERROR(INDEX(Auction!$B$5:$B$1000,SMALL(IF(Auction!$C$5:$C$1000=$A$1,ROW(Auction!$C$5:$C$1000)-ROW(Auction!$C$5)+1),ROWS($A$9:A26))),"")</f>
        <v/>
      </c>
      <c r="C26" s="10">
        <f>IFERROR(T(VLOOKUP($A26,Players!$A:$E,2,FALSE)),"")</f>
        <v/>
      </c>
      <c r="D26" s="10">
        <f>IFERROR(T(VLOOKUP($A26,Players!$A:$E,3,FALSE)),"")</f>
        <v/>
      </c>
      <c r="E26" s="8">
        <f>IFERROR(T(VLOOKUP($A26,Players!$A:$E,4,FALSE)),"")</f>
        <v/>
      </c>
      <c r="F26" s="8">
        <f>IFERROR(T(VLOOKUP($A26,Players!$A:$E,5,FALSE)),"")</f>
        <v/>
      </c>
    </row>
    <row r="27">
      <c r="A27" s="5">
        <f t="array" ref="A27">IFERROR(INDEX(Auction!$A$5:$A$1000,SMALL(IF(Auction!$C$5:$C$1000=$A$1,ROW(Auction!$C$5:$C$1000)-ROW(Auction!$C$5)+1),ROWS($A$9:A27))),"")</f>
        <v/>
      </c>
      <c r="B27" s="6">
        <f t="array" ref="B27">IFERROR(INDEX(Auction!$B$5:$B$1000,SMALL(IF(Auction!$C$5:$C$1000=$A$1,ROW(Auction!$C$5:$C$1000)-ROW(Auction!$C$5)+1),ROWS($A$9:A27))),"")</f>
        <v/>
      </c>
      <c r="C27" s="7">
        <f>IFERROR(T(VLOOKUP($A27,Players!$A:$E,2,FALSE)),"")</f>
        <v/>
      </c>
      <c r="D27" s="7">
        <f>IFERROR(T(VLOOKUP($A27,Players!$A:$E,3,FALSE)),"")</f>
        <v/>
      </c>
      <c r="E27" s="5">
        <f>IFERROR(T(VLOOKUP($A27,Players!$A:$E,4,FALSE)),"")</f>
        <v/>
      </c>
      <c r="F27" s="5">
        <f>IFERROR(T(VLOOKUP($A27,Players!$A:$E,5,FALSE)),"")</f>
        <v/>
      </c>
    </row>
    <row r="28">
      <c r="A28" s="8">
        <f t="array" ref="A28">IFERROR(INDEX(Auction!$A$5:$A$1000,SMALL(IF(Auction!$C$5:$C$1000=$A$1,ROW(Auction!$C$5:$C$1000)-ROW(Auction!$C$5)+1),ROWS($A$9:A28))),"")</f>
        <v/>
      </c>
      <c r="B28" s="9">
        <f t="array" ref="B28">IFERROR(INDEX(Auction!$B$5:$B$1000,SMALL(IF(Auction!$C$5:$C$1000=$A$1,ROW(Auction!$C$5:$C$1000)-ROW(Auction!$C$5)+1),ROWS($A$9:A28))),"")</f>
        <v/>
      </c>
      <c r="C28" s="10">
        <f>IFERROR(T(VLOOKUP($A28,Players!$A:$E,2,FALSE)),"")</f>
        <v/>
      </c>
      <c r="D28" s="10">
        <f>IFERROR(T(VLOOKUP($A28,Players!$A:$E,3,FALSE)),"")</f>
        <v/>
      </c>
      <c r="E28" s="8">
        <f>IFERROR(T(VLOOKUP($A28,Players!$A:$E,4,FALSE)),"")</f>
        <v/>
      </c>
      <c r="F28" s="8">
        <f>IFERROR(T(VLOOKUP($A28,Players!$A:$E,5,FALSE)),"")</f>
        <v/>
      </c>
    </row>
    <row r="29">
      <c r="A29" s="5">
        <f t="array" ref="A29">IFERROR(INDEX(Auction!$A$5:$A$1000,SMALL(IF(Auction!$C$5:$C$1000=$A$1,ROW(Auction!$C$5:$C$1000)-ROW(Auction!$C$5)+1),ROWS($A$9:A29))),"")</f>
        <v/>
      </c>
      <c r="B29" s="6">
        <f t="array" ref="B29">IFERROR(INDEX(Auction!$B$5:$B$1000,SMALL(IF(Auction!$C$5:$C$1000=$A$1,ROW(Auction!$C$5:$C$1000)-ROW(Auction!$C$5)+1),ROWS($A$9:A29))),"")</f>
        <v/>
      </c>
      <c r="C29" s="7">
        <f>IFERROR(T(VLOOKUP($A29,Players!$A:$E,2,FALSE)),"")</f>
        <v/>
      </c>
      <c r="D29" s="7">
        <f>IFERROR(T(VLOOKUP($A29,Players!$A:$E,3,FALSE)),"")</f>
        <v/>
      </c>
      <c r="E29" s="5">
        <f>IFERROR(T(VLOOKUP($A29,Players!$A:$E,4,FALSE)),"")</f>
        <v/>
      </c>
      <c r="F29" s="5">
        <f>IFERROR(T(VLOOKUP($A29,Players!$A:$E,5,FALSE)),"")</f>
        <v/>
      </c>
    </row>
    <row r="30">
      <c r="A30" s="8">
        <f t="array" ref="A30">IFERROR(INDEX(Auction!$A$5:$A$1000,SMALL(IF(Auction!$C$5:$C$1000=$A$1,ROW(Auction!$C$5:$C$1000)-ROW(Auction!$C$5)+1),ROWS($A$9:A30))),"")</f>
        <v/>
      </c>
      <c r="B30" s="9">
        <f t="array" ref="B30">IFERROR(INDEX(Auction!$B$5:$B$1000,SMALL(IF(Auction!$C$5:$C$1000=$A$1,ROW(Auction!$C$5:$C$1000)-ROW(Auction!$C$5)+1),ROWS($A$9:A30))),"")</f>
        <v/>
      </c>
      <c r="C30" s="10">
        <f>IFERROR(T(VLOOKUP($A30,Players!$A:$E,2,FALSE)),"")</f>
        <v/>
      </c>
      <c r="D30" s="10">
        <f>IFERROR(T(VLOOKUP($A30,Players!$A:$E,3,FALSE)),"")</f>
        <v/>
      </c>
      <c r="E30" s="8">
        <f>IFERROR(T(VLOOKUP($A30,Players!$A:$E,4,FALSE)),"")</f>
        <v/>
      </c>
      <c r="F30" s="8">
        <f>IFERROR(T(VLOOKUP($A30,Players!$A:$E,5,FALSE)),"")</f>
        <v/>
      </c>
    </row>
    <row r="31">
      <c r="A31" s="5">
        <f t="array" ref="A31">IFERROR(INDEX(Auction!$A$5:$A$1000,SMALL(IF(Auction!$C$5:$C$1000=$A$1,ROW(Auction!$C$5:$C$1000)-ROW(Auction!$C$5)+1),ROWS($A$9:A31))),"")</f>
        <v/>
      </c>
      <c r="B31" s="6">
        <f t="array" ref="B31">IFERROR(INDEX(Auction!$B$5:$B$1000,SMALL(IF(Auction!$C$5:$C$1000=$A$1,ROW(Auction!$C$5:$C$1000)-ROW(Auction!$C$5)+1),ROWS($A$9:A31))),"")</f>
        <v/>
      </c>
      <c r="C31" s="7">
        <f>IFERROR(T(VLOOKUP($A31,Players!$A:$E,2,FALSE)),"")</f>
        <v/>
      </c>
      <c r="D31" s="7">
        <f>IFERROR(T(VLOOKUP($A31,Players!$A:$E,3,FALSE)),"")</f>
        <v/>
      </c>
      <c r="E31" s="5">
        <f>IFERROR(T(VLOOKUP($A31,Players!$A:$E,4,FALSE)),"")</f>
        <v/>
      </c>
      <c r="F31" s="5">
        <f>IFERROR(T(VLOOKUP($A31,Players!$A:$E,5,FALSE)),"")</f>
        <v/>
      </c>
    </row>
    <row r="32">
      <c r="A32" s="8">
        <f t="array" ref="A32">IFERROR(INDEX(Auction!$A$5:$A$1000,SMALL(IF(Auction!$C$5:$C$1000=$A$1,ROW(Auction!$C$5:$C$1000)-ROW(Auction!$C$5)+1),ROWS($A$9:A32))),"")</f>
        <v/>
      </c>
      <c r="B32" s="9">
        <f t="array" ref="B32">IFERROR(INDEX(Auction!$B$5:$B$1000,SMALL(IF(Auction!$C$5:$C$1000=$A$1,ROW(Auction!$C$5:$C$1000)-ROW(Auction!$C$5)+1),ROWS($A$9:A32))),"")</f>
        <v/>
      </c>
      <c r="C32" s="10">
        <f>IFERROR(T(VLOOKUP($A32,Players!$A:$E,2,FALSE)),"")</f>
        <v/>
      </c>
      <c r="D32" s="10">
        <f>IFERROR(T(VLOOKUP($A32,Players!$A:$E,3,FALSE)),"")</f>
        <v/>
      </c>
      <c r="E32" s="8">
        <f>IFERROR(T(VLOOKUP($A32,Players!$A:$E,4,FALSE)),"")</f>
        <v/>
      </c>
      <c r="F32" s="8">
        <f>IFERROR(T(VLOOKUP($A32,Players!$A:$E,5,FALSE)),"")</f>
        <v/>
      </c>
    </row>
    <row r="33">
      <c r="A33" s="5">
        <f t="array" ref="A33">IFERROR(INDEX(Auction!$A$5:$A$1000,SMALL(IF(Auction!$C$5:$C$1000=$A$1,ROW(Auction!$C$5:$C$1000)-ROW(Auction!$C$5)+1),ROWS($A$9:A33))),"")</f>
        <v/>
      </c>
      <c r="B33" s="6">
        <f t="array" ref="B33">IFERROR(INDEX(Auction!$B$5:$B$1000,SMALL(IF(Auction!$C$5:$C$1000=$A$1,ROW(Auction!$C$5:$C$1000)-ROW(Auction!$C$5)+1),ROWS($A$9:A33))),"")</f>
        <v/>
      </c>
      <c r="C33" s="7">
        <f>IFERROR(T(VLOOKUP($A33,Players!$A:$E,2,FALSE)),"")</f>
        <v/>
      </c>
      <c r="D33" s="7">
        <f>IFERROR(T(VLOOKUP($A33,Players!$A:$E,3,FALSE)),"")</f>
        <v/>
      </c>
      <c r="E33" s="5">
        <f>IFERROR(T(VLOOKUP($A33,Players!$A:$E,4,FALSE)),"")</f>
        <v/>
      </c>
      <c r="F33" s="5">
        <f>IFERROR(T(VLOOKUP($A33,Players!$A:$E,5,FALSE)),"")</f>
        <v/>
      </c>
    </row>
    <row r="34">
      <c r="A34" s="8">
        <f t="array" ref="A34">IFERROR(INDEX(Auction!$A$5:$A$1000,SMALL(IF(Auction!$C$5:$C$1000=$A$1,ROW(Auction!$C$5:$C$1000)-ROW(Auction!$C$5)+1),ROWS($A$9:A34))),"")</f>
        <v/>
      </c>
      <c r="B34" s="9">
        <f t="array" ref="B34">IFERROR(INDEX(Auction!$B$5:$B$1000,SMALL(IF(Auction!$C$5:$C$1000=$A$1,ROW(Auction!$C$5:$C$1000)-ROW(Auction!$C$5)+1),ROWS($A$9:A34))),"")</f>
        <v/>
      </c>
      <c r="C34" s="10">
        <f>IFERROR(T(VLOOKUP($A34,Players!$A:$E,2,FALSE)),"")</f>
        <v/>
      </c>
      <c r="D34" s="10">
        <f>IFERROR(T(VLOOKUP($A34,Players!$A:$E,3,FALSE)),"")</f>
        <v/>
      </c>
      <c r="E34" s="8">
        <f>IFERROR(T(VLOOKUP($A34,Players!$A:$E,4,FALSE)),"")</f>
        <v/>
      </c>
      <c r="F34" s="8">
        <f>IFERROR(T(VLOOKUP($A34,Players!$A:$E,5,FALSE)),"")</f>
        <v/>
      </c>
    </row>
    <row r="35">
      <c r="A35" s="5">
        <f t="array" ref="A35">IFERROR(INDEX(Auction!$A$5:$A$1000,SMALL(IF(Auction!$C$5:$C$1000=$A$1,ROW(Auction!$C$5:$C$1000)-ROW(Auction!$C$5)+1),ROWS($A$9:A35))),"")</f>
        <v/>
      </c>
      <c r="B35" s="6">
        <f t="array" ref="B35">IFERROR(INDEX(Auction!$B$5:$B$1000,SMALL(IF(Auction!$C$5:$C$1000=$A$1,ROW(Auction!$C$5:$C$1000)-ROW(Auction!$C$5)+1),ROWS($A$9:A35))),"")</f>
        <v/>
      </c>
      <c r="C35" s="7">
        <f>IFERROR(T(VLOOKUP($A35,Players!$A:$E,2,FALSE)),"")</f>
        <v/>
      </c>
      <c r="D35" s="7">
        <f>IFERROR(T(VLOOKUP($A35,Players!$A:$E,3,FALSE)),"")</f>
        <v/>
      </c>
      <c r="E35" s="5">
        <f>IFERROR(T(VLOOKUP($A35,Players!$A:$E,4,FALSE)),"")</f>
        <v/>
      </c>
      <c r="F35" s="5">
        <f>IFERROR(T(VLOOKUP($A35,Players!$A:$E,5,FALSE)),"")</f>
        <v/>
      </c>
    </row>
    <row r="36">
      <c r="A36" s="8">
        <f t="array" ref="A36">IFERROR(INDEX(Auction!$A$5:$A$1000,SMALL(IF(Auction!$C$5:$C$1000=$A$1,ROW(Auction!$C$5:$C$1000)-ROW(Auction!$C$5)+1),ROWS($A$9:A36))),"")</f>
        <v/>
      </c>
      <c r="B36" s="9">
        <f t="array" ref="B36">IFERROR(INDEX(Auction!$B$5:$B$1000,SMALL(IF(Auction!$C$5:$C$1000=$A$1,ROW(Auction!$C$5:$C$1000)-ROW(Auction!$C$5)+1),ROWS($A$9:A36))),"")</f>
        <v/>
      </c>
      <c r="C36" s="10">
        <f>IFERROR(T(VLOOKUP($A36,Players!$A:$E,2,FALSE)),"")</f>
        <v/>
      </c>
      <c r="D36" s="10">
        <f>IFERROR(T(VLOOKUP($A36,Players!$A:$E,3,FALSE)),"")</f>
        <v/>
      </c>
      <c r="E36" s="8">
        <f>IFERROR(T(VLOOKUP($A36,Players!$A:$E,4,FALSE)),"")</f>
        <v/>
      </c>
      <c r="F36" s="8">
        <f>IFERROR(T(VLOOKUP($A36,Players!$A:$E,5,FALSE)),"")</f>
        <v/>
      </c>
    </row>
    <row r="37">
      <c r="A37" s="5">
        <f t="array" ref="A37">IFERROR(INDEX(Auction!$A$5:$A$1000,SMALL(IF(Auction!$C$5:$C$1000=$A$1,ROW(Auction!$C$5:$C$1000)-ROW(Auction!$C$5)+1),ROWS($A$9:A37))),"")</f>
        <v/>
      </c>
      <c r="B37" s="6">
        <f t="array" ref="B37">IFERROR(INDEX(Auction!$B$5:$B$1000,SMALL(IF(Auction!$C$5:$C$1000=$A$1,ROW(Auction!$C$5:$C$1000)-ROW(Auction!$C$5)+1),ROWS($A$9:A37))),"")</f>
        <v/>
      </c>
      <c r="C37" s="7">
        <f>IFERROR(T(VLOOKUP($A37,Players!$A:$E,2,FALSE)),"")</f>
        <v/>
      </c>
      <c r="D37" s="7">
        <f>IFERROR(T(VLOOKUP($A37,Players!$A:$E,3,FALSE)),"")</f>
        <v/>
      </c>
      <c r="E37" s="5">
        <f>IFERROR(T(VLOOKUP($A37,Players!$A:$E,4,FALSE)),"")</f>
        <v/>
      </c>
      <c r="F37" s="5">
        <f>IFERROR(T(VLOOKUP($A37,Players!$A:$E,5,FALSE)),"")</f>
        <v/>
      </c>
    </row>
    <row r="38">
      <c r="A38" s="8">
        <f t="array" ref="A38">IFERROR(INDEX(Auction!$A$5:$A$1000,SMALL(IF(Auction!$C$5:$C$1000=$A$1,ROW(Auction!$C$5:$C$1000)-ROW(Auction!$C$5)+1),ROWS($A$9:A38))),"")</f>
        <v/>
      </c>
      <c r="B38" s="9">
        <f t="array" ref="B38">IFERROR(INDEX(Auction!$B$5:$B$1000,SMALL(IF(Auction!$C$5:$C$1000=$A$1,ROW(Auction!$C$5:$C$1000)-ROW(Auction!$C$5)+1),ROWS($A$9:A38))),"")</f>
        <v/>
      </c>
      <c r="C38" s="10">
        <f>IFERROR(T(VLOOKUP($A38,Players!$A:$E,2,FALSE)),"")</f>
        <v/>
      </c>
      <c r="D38" s="10">
        <f>IFERROR(T(VLOOKUP($A38,Players!$A:$E,3,FALSE)),"")</f>
        <v/>
      </c>
      <c r="E38" s="8">
        <f>IFERROR(T(VLOOKUP($A38,Players!$A:$E,4,FALSE)),"")</f>
        <v/>
      </c>
      <c r="F38" s="8">
        <f>IFERROR(T(VLOOKUP($A38,Players!$A:$E,5,FALSE)),"")</f>
        <v/>
      </c>
    </row>
    <row r="39">
      <c r="A39" s="5">
        <f t="array" ref="A39">IFERROR(INDEX(Auction!$A$5:$A$1000,SMALL(IF(Auction!$C$5:$C$1000=$A$1,ROW(Auction!$C$5:$C$1000)-ROW(Auction!$C$5)+1),ROWS($A$9:A39))),"")</f>
        <v/>
      </c>
      <c r="B39" s="6">
        <f t="array" ref="B39">IFERROR(INDEX(Auction!$B$5:$B$1000,SMALL(IF(Auction!$C$5:$C$1000=$A$1,ROW(Auction!$C$5:$C$1000)-ROW(Auction!$C$5)+1),ROWS($A$9:A39))),"")</f>
        <v/>
      </c>
      <c r="C39" s="7">
        <f>IFERROR(T(VLOOKUP($A39,Players!$A:$E,2,FALSE)),"")</f>
        <v/>
      </c>
      <c r="D39" s="7">
        <f>IFERROR(T(VLOOKUP($A39,Players!$A:$E,3,FALSE)),"")</f>
        <v/>
      </c>
      <c r="E39" s="5">
        <f>IFERROR(T(VLOOKUP($A39,Players!$A:$E,4,FALSE)),"")</f>
        <v/>
      </c>
      <c r="F39" s="5">
        <f>IFERROR(T(VLOOKUP($A39,Players!$A:$E,5,FALSE)),"")</f>
        <v/>
      </c>
    </row>
    <row r="40">
      <c r="A40" s="8">
        <f t="array" ref="A40">IFERROR(INDEX(Auction!$A$5:$A$1000,SMALL(IF(Auction!$C$5:$C$1000=$A$1,ROW(Auction!$C$5:$C$1000)-ROW(Auction!$C$5)+1),ROWS($A$9:A40))),"")</f>
        <v/>
      </c>
      <c r="B40" s="9">
        <f t="array" ref="B40">IFERROR(INDEX(Auction!$B$5:$B$1000,SMALL(IF(Auction!$C$5:$C$1000=$A$1,ROW(Auction!$C$5:$C$1000)-ROW(Auction!$C$5)+1),ROWS($A$9:A40))),"")</f>
        <v/>
      </c>
      <c r="C40" s="10">
        <f>IFERROR(T(VLOOKUP($A40,Players!$A:$E,2,FALSE)),"")</f>
        <v/>
      </c>
      <c r="D40" s="10">
        <f>IFERROR(T(VLOOKUP($A40,Players!$A:$E,3,FALSE)),"")</f>
        <v/>
      </c>
      <c r="E40" s="8">
        <f>IFERROR(T(VLOOKUP($A40,Players!$A:$E,4,FALSE)),"")</f>
        <v/>
      </c>
      <c r="F40" s="8">
        <f>IFERROR(T(VLOOKUP($A40,Players!$A:$E,5,FALSE)),"")</f>
        <v/>
      </c>
    </row>
    <row r="41">
      <c r="A41" s="5">
        <f t="array" ref="A41">IFERROR(INDEX(Auction!$A$5:$A$1000,SMALL(IF(Auction!$C$5:$C$1000=$A$1,ROW(Auction!$C$5:$C$1000)-ROW(Auction!$C$5)+1),ROWS($A$9:A41))),"")</f>
        <v/>
      </c>
      <c r="B41" s="6">
        <f t="array" ref="B41">IFERROR(INDEX(Auction!$B$5:$B$1000,SMALL(IF(Auction!$C$5:$C$1000=$A$1,ROW(Auction!$C$5:$C$1000)-ROW(Auction!$C$5)+1),ROWS($A$9:A41))),"")</f>
        <v/>
      </c>
      <c r="C41" s="7">
        <f>IFERROR(T(VLOOKUP($A41,Players!$A:$E,2,FALSE)),"")</f>
        <v/>
      </c>
      <c r="D41" s="7">
        <f>IFERROR(T(VLOOKUP($A41,Players!$A:$E,3,FALSE)),"")</f>
        <v/>
      </c>
      <c r="E41" s="5">
        <f>IFERROR(T(VLOOKUP($A41,Players!$A:$E,4,FALSE)),"")</f>
        <v/>
      </c>
      <c r="F41" s="5">
        <f>IFERROR(T(VLOOKUP($A41,Players!$A:$E,5,FALSE)),"")</f>
        <v/>
      </c>
    </row>
    <row r="42">
      <c r="A42" s="8">
        <f t="array" ref="A42">IFERROR(INDEX(Auction!$A$5:$A$1000,SMALL(IF(Auction!$C$5:$C$1000=$A$1,ROW(Auction!$C$5:$C$1000)-ROW(Auction!$C$5)+1),ROWS($A$9:A42))),"")</f>
        <v/>
      </c>
      <c r="B42" s="9">
        <f t="array" ref="B42">IFERROR(INDEX(Auction!$B$5:$B$1000,SMALL(IF(Auction!$C$5:$C$1000=$A$1,ROW(Auction!$C$5:$C$1000)-ROW(Auction!$C$5)+1),ROWS($A$9:A42))),"")</f>
        <v/>
      </c>
      <c r="C42" s="10">
        <f>IFERROR(T(VLOOKUP($A42,Players!$A:$E,2,FALSE)),"")</f>
        <v/>
      </c>
      <c r="D42" s="10">
        <f>IFERROR(T(VLOOKUP($A42,Players!$A:$E,3,FALSE)),"")</f>
        <v/>
      </c>
      <c r="E42" s="8">
        <f>IFERROR(T(VLOOKUP($A42,Players!$A:$E,4,FALSE)),"")</f>
        <v/>
      </c>
      <c r="F42" s="8">
        <f>IFERROR(T(VLOOKUP($A42,Players!$A:$E,5,FALSE)),"")</f>
        <v/>
      </c>
    </row>
    <row r="43">
      <c r="A43" s="5">
        <f t="array" ref="A43">IFERROR(INDEX(Auction!$A$5:$A$1000,SMALL(IF(Auction!$C$5:$C$1000=$A$1,ROW(Auction!$C$5:$C$1000)-ROW(Auction!$C$5)+1),ROWS($A$9:A43))),"")</f>
        <v/>
      </c>
      <c r="B43" s="6">
        <f t="array" ref="B43">IFERROR(INDEX(Auction!$B$5:$B$1000,SMALL(IF(Auction!$C$5:$C$1000=$A$1,ROW(Auction!$C$5:$C$1000)-ROW(Auction!$C$5)+1),ROWS($A$9:A43))),"")</f>
        <v/>
      </c>
      <c r="C43" s="7">
        <f>IFERROR(T(VLOOKUP($A43,Players!$A:$E,2,FALSE)),"")</f>
        <v/>
      </c>
      <c r="D43" s="7">
        <f>IFERROR(T(VLOOKUP($A43,Players!$A:$E,3,FALSE)),"")</f>
        <v/>
      </c>
      <c r="E43" s="5">
        <f>IFERROR(T(VLOOKUP($A43,Players!$A:$E,4,FALSE)),"")</f>
        <v/>
      </c>
      <c r="F43" s="5">
        <f>IFERROR(T(VLOOKUP($A43,Players!$A:$E,5,FALSE)),"")</f>
        <v/>
      </c>
    </row>
    <row r="44">
      <c r="A44" s="8">
        <f t="array" ref="A44">IFERROR(INDEX(Auction!$A$5:$A$1000,SMALL(IF(Auction!$C$5:$C$1000=$A$1,ROW(Auction!$C$5:$C$1000)-ROW(Auction!$C$5)+1),ROWS($A$9:A44))),"")</f>
        <v/>
      </c>
      <c r="B44" s="9">
        <f t="array" ref="B44">IFERROR(INDEX(Auction!$B$5:$B$1000,SMALL(IF(Auction!$C$5:$C$1000=$A$1,ROW(Auction!$C$5:$C$1000)-ROW(Auction!$C$5)+1),ROWS($A$9:A44))),"")</f>
        <v/>
      </c>
      <c r="C44" s="10">
        <f>IFERROR(T(VLOOKUP($A44,Players!$A:$E,2,FALSE)),"")</f>
        <v/>
      </c>
      <c r="D44" s="10">
        <f>IFERROR(T(VLOOKUP($A44,Players!$A:$E,3,FALSE)),"")</f>
        <v/>
      </c>
      <c r="E44" s="8">
        <f>IFERROR(T(VLOOKUP($A44,Players!$A:$E,4,FALSE)),"")</f>
        <v/>
      </c>
      <c r="F44" s="8">
        <f>IFERROR(T(VLOOKUP($A44,Players!$A:$E,5,FALSE)),"")</f>
        <v/>
      </c>
    </row>
    <row r="45">
      <c r="A45" s="5">
        <f t="array" ref="A45">IFERROR(INDEX(Auction!$A$5:$A$1000,SMALL(IF(Auction!$C$5:$C$1000=$A$1,ROW(Auction!$C$5:$C$1000)-ROW(Auction!$C$5)+1),ROWS($A$9:A45))),"")</f>
        <v/>
      </c>
      <c r="B45" s="6">
        <f t="array" ref="B45">IFERROR(INDEX(Auction!$B$5:$B$1000,SMALL(IF(Auction!$C$5:$C$1000=$A$1,ROW(Auction!$C$5:$C$1000)-ROW(Auction!$C$5)+1),ROWS($A$9:A45))),"")</f>
        <v/>
      </c>
      <c r="C45" s="7">
        <f>IFERROR(T(VLOOKUP($A45,Players!$A:$E,2,FALSE)),"")</f>
        <v/>
      </c>
      <c r="D45" s="7">
        <f>IFERROR(T(VLOOKUP($A45,Players!$A:$E,3,FALSE)),"")</f>
        <v/>
      </c>
      <c r="E45" s="5">
        <f>IFERROR(T(VLOOKUP($A45,Players!$A:$E,4,FALSE)),"")</f>
        <v/>
      </c>
      <c r="F45" s="5">
        <f>IFERROR(T(VLOOKUP($A45,Players!$A:$E,5,FALSE)),"")</f>
        <v/>
      </c>
    </row>
    <row r="46">
      <c r="A46" s="8">
        <f t="array" ref="A46">IFERROR(INDEX(Auction!$A$5:$A$1000,SMALL(IF(Auction!$C$5:$C$1000=$A$1,ROW(Auction!$C$5:$C$1000)-ROW(Auction!$C$5)+1),ROWS($A$9:A46))),"")</f>
        <v/>
      </c>
      <c r="B46" s="9">
        <f t="array" ref="B46">IFERROR(INDEX(Auction!$B$5:$B$1000,SMALL(IF(Auction!$C$5:$C$1000=$A$1,ROW(Auction!$C$5:$C$1000)-ROW(Auction!$C$5)+1),ROWS($A$9:A46))),"")</f>
        <v/>
      </c>
      <c r="C46" s="10">
        <f>IFERROR(T(VLOOKUP($A46,Players!$A:$E,2,FALSE)),"")</f>
        <v/>
      </c>
      <c r="D46" s="10">
        <f>IFERROR(T(VLOOKUP($A46,Players!$A:$E,3,FALSE)),"")</f>
        <v/>
      </c>
      <c r="E46" s="8">
        <f>IFERROR(T(VLOOKUP($A46,Players!$A:$E,4,FALSE)),"")</f>
        <v/>
      </c>
      <c r="F46" s="8">
        <f>IFERROR(T(VLOOKUP($A46,Players!$A:$E,5,FALSE)),"")</f>
        <v/>
      </c>
    </row>
    <row r="47">
      <c r="A47" s="5">
        <f t="array" ref="A47">IFERROR(INDEX(Auction!$A$5:$A$1000,SMALL(IF(Auction!$C$5:$C$1000=$A$1,ROW(Auction!$C$5:$C$1000)-ROW(Auction!$C$5)+1),ROWS($A$9:A47))),"")</f>
        <v/>
      </c>
      <c r="B47" s="6">
        <f t="array" ref="B47">IFERROR(INDEX(Auction!$B$5:$B$1000,SMALL(IF(Auction!$C$5:$C$1000=$A$1,ROW(Auction!$C$5:$C$1000)-ROW(Auction!$C$5)+1),ROWS($A$9:A47))),"")</f>
        <v/>
      </c>
      <c r="C47" s="7">
        <f>IFERROR(T(VLOOKUP($A47,Players!$A:$E,2,FALSE)),"")</f>
        <v/>
      </c>
      <c r="D47" s="7">
        <f>IFERROR(T(VLOOKUP($A47,Players!$A:$E,3,FALSE)),"")</f>
        <v/>
      </c>
      <c r="E47" s="5">
        <f>IFERROR(T(VLOOKUP($A47,Players!$A:$E,4,FALSE)),"")</f>
        <v/>
      </c>
      <c r="F47" s="5">
        <f>IFERROR(T(VLOOKUP($A47,Players!$A:$E,5,FALSE)),"")</f>
        <v/>
      </c>
    </row>
    <row r="48">
      <c r="A48" s="8">
        <f t="array" ref="A48">IFERROR(INDEX(Auction!$A$5:$A$1000,SMALL(IF(Auction!$C$5:$C$1000=$A$1,ROW(Auction!$C$5:$C$1000)-ROW(Auction!$C$5)+1),ROWS($A$9:A48))),"")</f>
        <v/>
      </c>
      <c r="B48" s="9">
        <f t="array" ref="B48">IFERROR(INDEX(Auction!$B$5:$B$1000,SMALL(IF(Auction!$C$5:$C$1000=$A$1,ROW(Auction!$C$5:$C$1000)-ROW(Auction!$C$5)+1),ROWS($A$9:A48))),"")</f>
        <v/>
      </c>
      <c r="C48" s="10">
        <f>IFERROR(T(VLOOKUP($A48,Players!$A:$E,2,FALSE)),"")</f>
        <v/>
      </c>
      <c r="D48" s="10">
        <f>IFERROR(T(VLOOKUP($A48,Players!$A:$E,3,FALSE)),"")</f>
        <v/>
      </c>
      <c r="E48" s="8">
        <f>IFERROR(T(VLOOKUP($A48,Players!$A:$E,4,FALSE)),"")</f>
        <v/>
      </c>
      <c r="F48" s="8">
        <f>IFERROR(T(VLOOKUP($A48,Players!$A:$E,5,FALSE)),"")</f>
        <v/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E8C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8" customWidth="1" min="4" max="4"/>
    <col width="14" customWidth="1" min="5" max="5"/>
    <col width="15" customWidth="1" min="6" max="6"/>
  </cols>
  <sheetData>
    <row r="1" ht="28" customHeight="1">
      <c r="A1" s="22">
        <f>Balance!A12</f>
        <v/>
      </c>
    </row>
    <row r="3">
      <c r="A3" s="23" t="inlineStr">
        <is>
          <t>Purse (Cr)</t>
        </is>
      </c>
      <c r="B3" s="24">
        <f>Balance!B12</f>
        <v/>
      </c>
    </row>
    <row r="4">
      <c r="A4" s="23" t="inlineStr">
        <is>
          <t>Spent (Cr)</t>
        </is>
      </c>
      <c r="B4" s="24">
        <f>Balance!C12</f>
        <v/>
      </c>
    </row>
    <row r="5">
      <c r="A5" s="25" t="inlineStr">
        <is>
          <t>Balance (Cr)</t>
        </is>
      </c>
      <c r="B5" s="26">
        <f>Balance!D12</f>
        <v/>
      </c>
    </row>
    <row r="6">
      <c r="A6" s="27" t="inlineStr">
        <is>
          <t>Players</t>
        </is>
      </c>
      <c r="B6" s="28">
        <f>Balance!E12</f>
        <v/>
      </c>
    </row>
    <row r="8">
      <c r="A8" s="3" t="inlineStr">
        <is>
          <t>Player</t>
        </is>
      </c>
      <c r="B8" s="3" t="inlineStr">
        <is>
          <t>Price (Cr)</t>
        </is>
      </c>
      <c r="C8" s="3" t="inlineStr">
        <is>
          <t>Role</t>
        </is>
      </c>
      <c r="D8" s="3" t="inlineStr">
        <is>
          <t>Hand</t>
        </is>
      </c>
      <c r="E8" s="3" t="inlineStr">
        <is>
          <t>Country</t>
        </is>
      </c>
      <c r="F8" s="3" t="inlineStr">
        <is>
          <t>City</t>
        </is>
      </c>
    </row>
    <row r="9">
      <c r="A9" s="5">
        <f t="array" ref="A9">IFERROR(INDEX(Auction!$A$5:$A$1000,SMALL(IF(Auction!$C$5:$C$1000=$A$1,ROW(Auction!$C$5:$C$1000)-ROW(Auction!$C$5)+1),ROWS($A$9:A9))),"")</f>
        <v/>
      </c>
      <c r="B9" s="6">
        <f t="array" ref="B9">IFERROR(INDEX(Auction!$B$5:$B$1000,SMALL(IF(Auction!$C$5:$C$1000=$A$1,ROW(Auction!$C$5:$C$1000)-ROW(Auction!$C$5)+1),ROWS($A$9:A9))),"")</f>
        <v/>
      </c>
      <c r="C9" s="7">
        <f>IFERROR(T(VLOOKUP($A9,Players!$A:$E,2,FALSE)),"")</f>
        <v/>
      </c>
      <c r="D9" s="7">
        <f>IFERROR(T(VLOOKUP($A9,Players!$A:$E,3,FALSE)),"")</f>
        <v/>
      </c>
      <c r="E9" s="5">
        <f>IFERROR(T(VLOOKUP($A9,Players!$A:$E,4,FALSE)),"")</f>
        <v/>
      </c>
      <c r="F9" s="5">
        <f>IFERROR(T(VLOOKUP($A9,Players!$A:$E,5,FALSE)),"")</f>
        <v/>
      </c>
    </row>
    <row r="10">
      <c r="A10" s="8">
        <f t="array" ref="A10">IFERROR(INDEX(Auction!$A$5:$A$1000,SMALL(IF(Auction!$C$5:$C$1000=$A$1,ROW(Auction!$C$5:$C$1000)-ROW(Auction!$C$5)+1),ROWS($A$9:A10))),"")</f>
        <v/>
      </c>
      <c r="B10" s="9">
        <f t="array" ref="B10">IFERROR(INDEX(Auction!$B$5:$B$1000,SMALL(IF(Auction!$C$5:$C$1000=$A$1,ROW(Auction!$C$5:$C$1000)-ROW(Auction!$C$5)+1),ROWS($A$9:A10))),"")</f>
        <v/>
      </c>
      <c r="C10" s="10">
        <f>IFERROR(T(VLOOKUP($A10,Players!$A:$E,2,FALSE)),"")</f>
        <v/>
      </c>
      <c r="D10" s="10">
        <f>IFERROR(T(VLOOKUP($A10,Players!$A:$E,3,FALSE)),"")</f>
        <v/>
      </c>
      <c r="E10" s="8">
        <f>IFERROR(T(VLOOKUP($A10,Players!$A:$E,4,FALSE)),"")</f>
        <v/>
      </c>
      <c r="F10" s="8">
        <f>IFERROR(T(VLOOKUP($A10,Players!$A:$E,5,FALSE)),"")</f>
        <v/>
      </c>
    </row>
    <row r="11">
      <c r="A11" s="5">
        <f t="array" ref="A11">IFERROR(INDEX(Auction!$A$5:$A$1000,SMALL(IF(Auction!$C$5:$C$1000=$A$1,ROW(Auction!$C$5:$C$1000)-ROW(Auction!$C$5)+1),ROWS($A$9:A11))),"")</f>
        <v/>
      </c>
      <c r="B11" s="6">
        <f t="array" ref="B11">IFERROR(INDEX(Auction!$B$5:$B$1000,SMALL(IF(Auction!$C$5:$C$1000=$A$1,ROW(Auction!$C$5:$C$1000)-ROW(Auction!$C$5)+1),ROWS($A$9:A11))),"")</f>
        <v/>
      </c>
      <c r="C11" s="7">
        <f>IFERROR(T(VLOOKUP($A11,Players!$A:$E,2,FALSE)),"")</f>
        <v/>
      </c>
      <c r="D11" s="7">
        <f>IFERROR(T(VLOOKUP($A11,Players!$A:$E,3,FALSE)),"")</f>
        <v/>
      </c>
      <c r="E11" s="5">
        <f>IFERROR(T(VLOOKUP($A11,Players!$A:$E,4,FALSE)),"")</f>
        <v/>
      </c>
      <c r="F11" s="5">
        <f>IFERROR(T(VLOOKUP($A11,Players!$A:$E,5,FALSE)),"")</f>
        <v/>
      </c>
    </row>
    <row r="12">
      <c r="A12" s="8">
        <f t="array" ref="A12">IFERROR(INDEX(Auction!$A$5:$A$1000,SMALL(IF(Auction!$C$5:$C$1000=$A$1,ROW(Auction!$C$5:$C$1000)-ROW(Auction!$C$5)+1),ROWS($A$9:A12))),"")</f>
        <v/>
      </c>
      <c r="B12" s="9">
        <f t="array" ref="B12">IFERROR(INDEX(Auction!$B$5:$B$1000,SMALL(IF(Auction!$C$5:$C$1000=$A$1,ROW(Auction!$C$5:$C$1000)-ROW(Auction!$C$5)+1),ROWS($A$9:A12))),"")</f>
        <v/>
      </c>
      <c r="C12" s="10">
        <f>IFERROR(T(VLOOKUP($A12,Players!$A:$E,2,FALSE)),"")</f>
        <v/>
      </c>
      <c r="D12" s="10">
        <f>IFERROR(T(VLOOKUP($A12,Players!$A:$E,3,FALSE)),"")</f>
        <v/>
      </c>
      <c r="E12" s="8">
        <f>IFERROR(T(VLOOKUP($A12,Players!$A:$E,4,FALSE)),"")</f>
        <v/>
      </c>
      <c r="F12" s="8">
        <f>IFERROR(T(VLOOKUP($A12,Players!$A:$E,5,FALSE)),"")</f>
        <v/>
      </c>
    </row>
    <row r="13">
      <c r="A13" s="5">
        <f t="array" ref="A13">IFERROR(INDEX(Auction!$A$5:$A$1000,SMALL(IF(Auction!$C$5:$C$1000=$A$1,ROW(Auction!$C$5:$C$1000)-ROW(Auction!$C$5)+1),ROWS($A$9:A13))),"")</f>
        <v/>
      </c>
      <c r="B13" s="6">
        <f t="array" ref="B13">IFERROR(INDEX(Auction!$B$5:$B$1000,SMALL(IF(Auction!$C$5:$C$1000=$A$1,ROW(Auction!$C$5:$C$1000)-ROW(Auction!$C$5)+1),ROWS($A$9:A13))),"")</f>
        <v/>
      </c>
      <c r="C13" s="7">
        <f>IFERROR(T(VLOOKUP($A13,Players!$A:$E,2,FALSE)),"")</f>
        <v/>
      </c>
      <c r="D13" s="7">
        <f>IFERROR(T(VLOOKUP($A13,Players!$A:$E,3,FALSE)),"")</f>
        <v/>
      </c>
      <c r="E13" s="5">
        <f>IFERROR(T(VLOOKUP($A13,Players!$A:$E,4,FALSE)),"")</f>
        <v/>
      </c>
      <c r="F13" s="5">
        <f>IFERROR(T(VLOOKUP($A13,Players!$A:$E,5,FALSE)),"")</f>
        <v/>
      </c>
    </row>
    <row r="14">
      <c r="A14" s="8">
        <f t="array" ref="A14">IFERROR(INDEX(Auction!$A$5:$A$1000,SMALL(IF(Auction!$C$5:$C$1000=$A$1,ROW(Auction!$C$5:$C$1000)-ROW(Auction!$C$5)+1),ROWS($A$9:A14))),"")</f>
        <v/>
      </c>
      <c r="B14" s="9">
        <f t="array" ref="B14">IFERROR(INDEX(Auction!$B$5:$B$1000,SMALL(IF(Auction!$C$5:$C$1000=$A$1,ROW(Auction!$C$5:$C$1000)-ROW(Auction!$C$5)+1),ROWS($A$9:A14))),"")</f>
        <v/>
      </c>
      <c r="C14" s="10">
        <f>IFERROR(T(VLOOKUP($A14,Players!$A:$E,2,FALSE)),"")</f>
        <v/>
      </c>
      <c r="D14" s="10">
        <f>IFERROR(T(VLOOKUP($A14,Players!$A:$E,3,FALSE)),"")</f>
        <v/>
      </c>
      <c r="E14" s="8">
        <f>IFERROR(T(VLOOKUP($A14,Players!$A:$E,4,FALSE)),"")</f>
        <v/>
      </c>
      <c r="F14" s="8">
        <f>IFERROR(T(VLOOKUP($A14,Players!$A:$E,5,FALSE)),"")</f>
        <v/>
      </c>
    </row>
    <row r="15">
      <c r="A15" s="5">
        <f t="array" ref="A15">IFERROR(INDEX(Auction!$A$5:$A$1000,SMALL(IF(Auction!$C$5:$C$1000=$A$1,ROW(Auction!$C$5:$C$1000)-ROW(Auction!$C$5)+1),ROWS($A$9:A15))),"")</f>
        <v/>
      </c>
      <c r="B15" s="6">
        <f t="array" ref="B15">IFERROR(INDEX(Auction!$B$5:$B$1000,SMALL(IF(Auction!$C$5:$C$1000=$A$1,ROW(Auction!$C$5:$C$1000)-ROW(Auction!$C$5)+1),ROWS($A$9:A15))),"")</f>
        <v/>
      </c>
      <c r="C15" s="7">
        <f>IFERROR(T(VLOOKUP($A15,Players!$A:$E,2,FALSE)),"")</f>
        <v/>
      </c>
      <c r="D15" s="7">
        <f>IFERROR(T(VLOOKUP($A15,Players!$A:$E,3,FALSE)),"")</f>
        <v/>
      </c>
      <c r="E15" s="5">
        <f>IFERROR(T(VLOOKUP($A15,Players!$A:$E,4,FALSE)),"")</f>
        <v/>
      </c>
      <c r="F15" s="5">
        <f>IFERROR(T(VLOOKUP($A15,Players!$A:$E,5,FALSE)),"")</f>
        <v/>
      </c>
    </row>
    <row r="16">
      <c r="A16" s="8">
        <f t="array" ref="A16">IFERROR(INDEX(Auction!$A$5:$A$1000,SMALL(IF(Auction!$C$5:$C$1000=$A$1,ROW(Auction!$C$5:$C$1000)-ROW(Auction!$C$5)+1),ROWS($A$9:A16))),"")</f>
        <v/>
      </c>
      <c r="B16" s="9">
        <f t="array" ref="B16">IFERROR(INDEX(Auction!$B$5:$B$1000,SMALL(IF(Auction!$C$5:$C$1000=$A$1,ROW(Auction!$C$5:$C$1000)-ROW(Auction!$C$5)+1),ROWS($A$9:A16))),"")</f>
        <v/>
      </c>
      <c r="C16" s="10">
        <f>IFERROR(T(VLOOKUP($A16,Players!$A:$E,2,FALSE)),"")</f>
        <v/>
      </c>
      <c r="D16" s="10">
        <f>IFERROR(T(VLOOKUP($A16,Players!$A:$E,3,FALSE)),"")</f>
        <v/>
      </c>
      <c r="E16" s="8">
        <f>IFERROR(T(VLOOKUP($A16,Players!$A:$E,4,FALSE)),"")</f>
        <v/>
      </c>
      <c r="F16" s="8">
        <f>IFERROR(T(VLOOKUP($A16,Players!$A:$E,5,FALSE)),"")</f>
        <v/>
      </c>
    </row>
    <row r="17">
      <c r="A17" s="5">
        <f t="array" ref="A17">IFERROR(INDEX(Auction!$A$5:$A$1000,SMALL(IF(Auction!$C$5:$C$1000=$A$1,ROW(Auction!$C$5:$C$1000)-ROW(Auction!$C$5)+1),ROWS($A$9:A17))),"")</f>
        <v/>
      </c>
      <c r="B17" s="6">
        <f t="array" ref="B17">IFERROR(INDEX(Auction!$B$5:$B$1000,SMALL(IF(Auction!$C$5:$C$1000=$A$1,ROW(Auction!$C$5:$C$1000)-ROW(Auction!$C$5)+1),ROWS($A$9:A17))),"")</f>
        <v/>
      </c>
      <c r="C17" s="7">
        <f>IFERROR(T(VLOOKUP($A17,Players!$A:$E,2,FALSE)),"")</f>
        <v/>
      </c>
      <c r="D17" s="7">
        <f>IFERROR(T(VLOOKUP($A17,Players!$A:$E,3,FALSE)),"")</f>
        <v/>
      </c>
      <c r="E17" s="5">
        <f>IFERROR(T(VLOOKUP($A17,Players!$A:$E,4,FALSE)),"")</f>
        <v/>
      </c>
      <c r="F17" s="5">
        <f>IFERROR(T(VLOOKUP($A17,Players!$A:$E,5,FALSE)),"")</f>
        <v/>
      </c>
    </row>
    <row r="18">
      <c r="A18" s="8">
        <f t="array" ref="A18">IFERROR(INDEX(Auction!$A$5:$A$1000,SMALL(IF(Auction!$C$5:$C$1000=$A$1,ROW(Auction!$C$5:$C$1000)-ROW(Auction!$C$5)+1),ROWS($A$9:A18))),"")</f>
        <v/>
      </c>
      <c r="B18" s="9">
        <f t="array" ref="B18">IFERROR(INDEX(Auction!$B$5:$B$1000,SMALL(IF(Auction!$C$5:$C$1000=$A$1,ROW(Auction!$C$5:$C$1000)-ROW(Auction!$C$5)+1),ROWS($A$9:A18))),"")</f>
        <v/>
      </c>
      <c r="C18" s="10">
        <f>IFERROR(T(VLOOKUP($A18,Players!$A:$E,2,FALSE)),"")</f>
        <v/>
      </c>
      <c r="D18" s="10">
        <f>IFERROR(T(VLOOKUP($A18,Players!$A:$E,3,FALSE)),"")</f>
        <v/>
      </c>
      <c r="E18" s="8">
        <f>IFERROR(T(VLOOKUP($A18,Players!$A:$E,4,FALSE)),"")</f>
        <v/>
      </c>
      <c r="F18" s="8">
        <f>IFERROR(T(VLOOKUP($A18,Players!$A:$E,5,FALSE)),"")</f>
        <v/>
      </c>
    </row>
    <row r="19">
      <c r="A19" s="5">
        <f t="array" ref="A19">IFERROR(INDEX(Auction!$A$5:$A$1000,SMALL(IF(Auction!$C$5:$C$1000=$A$1,ROW(Auction!$C$5:$C$1000)-ROW(Auction!$C$5)+1),ROWS($A$9:A19))),"")</f>
        <v/>
      </c>
      <c r="B19" s="6">
        <f t="array" ref="B19">IFERROR(INDEX(Auction!$B$5:$B$1000,SMALL(IF(Auction!$C$5:$C$1000=$A$1,ROW(Auction!$C$5:$C$1000)-ROW(Auction!$C$5)+1),ROWS($A$9:A19))),"")</f>
        <v/>
      </c>
      <c r="C19" s="7">
        <f>IFERROR(T(VLOOKUP($A19,Players!$A:$E,2,FALSE)),"")</f>
        <v/>
      </c>
      <c r="D19" s="7">
        <f>IFERROR(T(VLOOKUP($A19,Players!$A:$E,3,FALSE)),"")</f>
        <v/>
      </c>
      <c r="E19" s="5">
        <f>IFERROR(T(VLOOKUP($A19,Players!$A:$E,4,FALSE)),"")</f>
        <v/>
      </c>
      <c r="F19" s="5">
        <f>IFERROR(T(VLOOKUP($A19,Players!$A:$E,5,FALSE)),"")</f>
        <v/>
      </c>
    </row>
    <row r="20">
      <c r="A20" s="8">
        <f t="array" ref="A20">IFERROR(INDEX(Auction!$A$5:$A$1000,SMALL(IF(Auction!$C$5:$C$1000=$A$1,ROW(Auction!$C$5:$C$1000)-ROW(Auction!$C$5)+1),ROWS($A$9:A20))),"")</f>
        <v/>
      </c>
      <c r="B20" s="9">
        <f t="array" ref="B20">IFERROR(INDEX(Auction!$B$5:$B$1000,SMALL(IF(Auction!$C$5:$C$1000=$A$1,ROW(Auction!$C$5:$C$1000)-ROW(Auction!$C$5)+1),ROWS($A$9:A20))),"")</f>
        <v/>
      </c>
      <c r="C20" s="10">
        <f>IFERROR(T(VLOOKUP($A20,Players!$A:$E,2,FALSE)),"")</f>
        <v/>
      </c>
      <c r="D20" s="10">
        <f>IFERROR(T(VLOOKUP($A20,Players!$A:$E,3,FALSE)),"")</f>
        <v/>
      </c>
      <c r="E20" s="8">
        <f>IFERROR(T(VLOOKUP($A20,Players!$A:$E,4,FALSE)),"")</f>
        <v/>
      </c>
      <c r="F20" s="8">
        <f>IFERROR(T(VLOOKUP($A20,Players!$A:$E,5,FALSE)),"")</f>
        <v/>
      </c>
    </row>
    <row r="21">
      <c r="A21" s="5">
        <f t="array" ref="A21">IFERROR(INDEX(Auction!$A$5:$A$1000,SMALL(IF(Auction!$C$5:$C$1000=$A$1,ROW(Auction!$C$5:$C$1000)-ROW(Auction!$C$5)+1),ROWS($A$9:A21))),"")</f>
        <v/>
      </c>
      <c r="B21" s="6">
        <f t="array" ref="B21">IFERROR(INDEX(Auction!$B$5:$B$1000,SMALL(IF(Auction!$C$5:$C$1000=$A$1,ROW(Auction!$C$5:$C$1000)-ROW(Auction!$C$5)+1),ROWS($A$9:A21))),"")</f>
        <v/>
      </c>
      <c r="C21" s="7">
        <f>IFERROR(T(VLOOKUP($A21,Players!$A:$E,2,FALSE)),"")</f>
        <v/>
      </c>
      <c r="D21" s="7">
        <f>IFERROR(T(VLOOKUP($A21,Players!$A:$E,3,FALSE)),"")</f>
        <v/>
      </c>
      <c r="E21" s="5">
        <f>IFERROR(T(VLOOKUP($A21,Players!$A:$E,4,FALSE)),"")</f>
        <v/>
      </c>
      <c r="F21" s="5">
        <f>IFERROR(T(VLOOKUP($A21,Players!$A:$E,5,FALSE)),"")</f>
        <v/>
      </c>
    </row>
    <row r="22">
      <c r="A22" s="8">
        <f t="array" ref="A22">IFERROR(INDEX(Auction!$A$5:$A$1000,SMALL(IF(Auction!$C$5:$C$1000=$A$1,ROW(Auction!$C$5:$C$1000)-ROW(Auction!$C$5)+1),ROWS($A$9:A22))),"")</f>
        <v/>
      </c>
      <c r="B22" s="9">
        <f t="array" ref="B22">IFERROR(INDEX(Auction!$B$5:$B$1000,SMALL(IF(Auction!$C$5:$C$1000=$A$1,ROW(Auction!$C$5:$C$1000)-ROW(Auction!$C$5)+1),ROWS($A$9:A22))),"")</f>
        <v/>
      </c>
      <c r="C22" s="10">
        <f>IFERROR(T(VLOOKUP($A22,Players!$A:$E,2,FALSE)),"")</f>
        <v/>
      </c>
      <c r="D22" s="10">
        <f>IFERROR(T(VLOOKUP($A22,Players!$A:$E,3,FALSE)),"")</f>
        <v/>
      </c>
      <c r="E22" s="8">
        <f>IFERROR(T(VLOOKUP($A22,Players!$A:$E,4,FALSE)),"")</f>
        <v/>
      </c>
      <c r="F22" s="8">
        <f>IFERROR(T(VLOOKUP($A22,Players!$A:$E,5,FALSE)),"")</f>
        <v/>
      </c>
    </row>
    <row r="23">
      <c r="A23" s="5">
        <f t="array" ref="A23">IFERROR(INDEX(Auction!$A$5:$A$1000,SMALL(IF(Auction!$C$5:$C$1000=$A$1,ROW(Auction!$C$5:$C$1000)-ROW(Auction!$C$5)+1),ROWS($A$9:A23))),"")</f>
        <v/>
      </c>
      <c r="B23" s="6">
        <f t="array" ref="B23">IFERROR(INDEX(Auction!$B$5:$B$1000,SMALL(IF(Auction!$C$5:$C$1000=$A$1,ROW(Auction!$C$5:$C$1000)-ROW(Auction!$C$5)+1),ROWS($A$9:A23))),"")</f>
        <v/>
      </c>
      <c r="C23" s="7">
        <f>IFERROR(T(VLOOKUP($A23,Players!$A:$E,2,FALSE)),"")</f>
        <v/>
      </c>
      <c r="D23" s="7">
        <f>IFERROR(T(VLOOKUP($A23,Players!$A:$E,3,FALSE)),"")</f>
        <v/>
      </c>
      <c r="E23" s="5">
        <f>IFERROR(T(VLOOKUP($A23,Players!$A:$E,4,FALSE)),"")</f>
        <v/>
      </c>
      <c r="F23" s="5">
        <f>IFERROR(T(VLOOKUP($A23,Players!$A:$E,5,FALSE)),"")</f>
        <v/>
      </c>
    </row>
    <row r="24">
      <c r="A24" s="8">
        <f t="array" ref="A24">IFERROR(INDEX(Auction!$A$5:$A$1000,SMALL(IF(Auction!$C$5:$C$1000=$A$1,ROW(Auction!$C$5:$C$1000)-ROW(Auction!$C$5)+1),ROWS($A$9:A24))),"")</f>
        <v/>
      </c>
      <c r="B24" s="9">
        <f t="array" ref="B24">IFERROR(INDEX(Auction!$B$5:$B$1000,SMALL(IF(Auction!$C$5:$C$1000=$A$1,ROW(Auction!$C$5:$C$1000)-ROW(Auction!$C$5)+1),ROWS($A$9:A24))),"")</f>
        <v/>
      </c>
      <c r="C24" s="10">
        <f>IFERROR(T(VLOOKUP($A24,Players!$A:$E,2,FALSE)),"")</f>
        <v/>
      </c>
      <c r="D24" s="10">
        <f>IFERROR(T(VLOOKUP($A24,Players!$A:$E,3,FALSE)),"")</f>
        <v/>
      </c>
      <c r="E24" s="8">
        <f>IFERROR(T(VLOOKUP($A24,Players!$A:$E,4,FALSE)),"")</f>
        <v/>
      </c>
      <c r="F24" s="8">
        <f>IFERROR(T(VLOOKUP($A24,Players!$A:$E,5,FALSE)),"")</f>
        <v/>
      </c>
    </row>
    <row r="25">
      <c r="A25" s="5">
        <f t="array" ref="A25">IFERROR(INDEX(Auction!$A$5:$A$1000,SMALL(IF(Auction!$C$5:$C$1000=$A$1,ROW(Auction!$C$5:$C$1000)-ROW(Auction!$C$5)+1),ROWS($A$9:A25))),"")</f>
        <v/>
      </c>
      <c r="B25" s="6">
        <f t="array" ref="B25">IFERROR(INDEX(Auction!$B$5:$B$1000,SMALL(IF(Auction!$C$5:$C$1000=$A$1,ROW(Auction!$C$5:$C$1000)-ROW(Auction!$C$5)+1),ROWS($A$9:A25))),"")</f>
        <v/>
      </c>
      <c r="C25" s="7">
        <f>IFERROR(T(VLOOKUP($A25,Players!$A:$E,2,FALSE)),"")</f>
        <v/>
      </c>
      <c r="D25" s="7">
        <f>IFERROR(T(VLOOKUP($A25,Players!$A:$E,3,FALSE)),"")</f>
        <v/>
      </c>
      <c r="E25" s="5">
        <f>IFERROR(T(VLOOKUP($A25,Players!$A:$E,4,FALSE)),"")</f>
        <v/>
      </c>
      <c r="F25" s="5">
        <f>IFERROR(T(VLOOKUP($A25,Players!$A:$E,5,FALSE)),"")</f>
        <v/>
      </c>
    </row>
    <row r="26">
      <c r="A26" s="8">
        <f t="array" ref="A26">IFERROR(INDEX(Auction!$A$5:$A$1000,SMALL(IF(Auction!$C$5:$C$1000=$A$1,ROW(Auction!$C$5:$C$1000)-ROW(Auction!$C$5)+1),ROWS($A$9:A26))),"")</f>
        <v/>
      </c>
      <c r="B26" s="9">
        <f t="array" ref="B26">IFERROR(INDEX(Auction!$B$5:$B$1000,SMALL(IF(Auction!$C$5:$C$1000=$A$1,ROW(Auction!$C$5:$C$1000)-ROW(Auction!$C$5)+1),ROWS($A$9:A26))),"")</f>
        <v/>
      </c>
      <c r="C26" s="10">
        <f>IFERROR(T(VLOOKUP($A26,Players!$A:$E,2,FALSE)),"")</f>
        <v/>
      </c>
      <c r="D26" s="10">
        <f>IFERROR(T(VLOOKUP($A26,Players!$A:$E,3,FALSE)),"")</f>
        <v/>
      </c>
      <c r="E26" s="8">
        <f>IFERROR(T(VLOOKUP($A26,Players!$A:$E,4,FALSE)),"")</f>
        <v/>
      </c>
      <c r="F26" s="8">
        <f>IFERROR(T(VLOOKUP($A26,Players!$A:$E,5,FALSE)),"")</f>
        <v/>
      </c>
    </row>
    <row r="27">
      <c r="A27" s="5">
        <f t="array" ref="A27">IFERROR(INDEX(Auction!$A$5:$A$1000,SMALL(IF(Auction!$C$5:$C$1000=$A$1,ROW(Auction!$C$5:$C$1000)-ROW(Auction!$C$5)+1),ROWS($A$9:A27))),"")</f>
        <v/>
      </c>
      <c r="B27" s="6">
        <f t="array" ref="B27">IFERROR(INDEX(Auction!$B$5:$B$1000,SMALL(IF(Auction!$C$5:$C$1000=$A$1,ROW(Auction!$C$5:$C$1000)-ROW(Auction!$C$5)+1),ROWS($A$9:A27))),"")</f>
        <v/>
      </c>
      <c r="C27" s="7">
        <f>IFERROR(T(VLOOKUP($A27,Players!$A:$E,2,FALSE)),"")</f>
        <v/>
      </c>
      <c r="D27" s="7">
        <f>IFERROR(T(VLOOKUP($A27,Players!$A:$E,3,FALSE)),"")</f>
        <v/>
      </c>
      <c r="E27" s="5">
        <f>IFERROR(T(VLOOKUP($A27,Players!$A:$E,4,FALSE)),"")</f>
        <v/>
      </c>
      <c r="F27" s="5">
        <f>IFERROR(T(VLOOKUP($A27,Players!$A:$E,5,FALSE)),"")</f>
        <v/>
      </c>
    </row>
    <row r="28">
      <c r="A28" s="8">
        <f t="array" ref="A28">IFERROR(INDEX(Auction!$A$5:$A$1000,SMALL(IF(Auction!$C$5:$C$1000=$A$1,ROW(Auction!$C$5:$C$1000)-ROW(Auction!$C$5)+1),ROWS($A$9:A28))),"")</f>
        <v/>
      </c>
      <c r="B28" s="9">
        <f t="array" ref="B28">IFERROR(INDEX(Auction!$B$5:$B$1000,SMALL(IF(Auction!$C$5:$C$1000=$A$1,ROW(Auction!$C$5:$C$1000)-ROW(Auction!$C$5)+1),ROWS($A$9:A28))),"")</f>
        <v/>
      </c>
      <c r="C28" s="10">
        <f>IFERROR(T(VLOOKUP($A28,Players!$A:$E,2,FALSE)),"")</f>
        <v/>
      </c>
      <c r="D28" s="10">
        <f>IFERROR(T(VLOOKUP($A28,Players!$A:$E,3,FALSE)),"")</f>
        <v/>
      </c>
      <c r="E28" s="8">
        <f>IFERROR(T(VLOOKUP($A28,Players!$A:$E,4,FALSE)),"")</f>
        <v/>
      </c>
      <c r="F28" s="8">
        <f>IFERROR(T(VLOOKUP($A28,Players!$A:$E,5,FALSE)),"")</f>
        <v/>
      </c>
    </row>
    <row r="29">
      <c r="A29" s="5">
        <f t="array" ref="A29">IFERROR(INDEX(Auction!$A$5:$A$1000,SMALL(IF(Auction!$C$5:$C$1000=$A$1,ROW(Auction!$C$5:$C$1000)-ROW(Auction!$C$5)+1),ROWS($A$9:A29))),"")</f>
        <v/>
      </c>
      <c r="B29" s="6">
        <f t="array" ref="B29">IFERROR(INDEX(Auction!$B$5:$B$1000,SMALL(IF(Auction!$C$5:$C$1000=$A$1,ROW(Auction!$C$5:$C$1000)-ROW(Auction!$C$5)+1),ROWS($A$9:A29))),"")</f>
        <v/>
      </c>
      <c r="C29" s="7">
        <f>IFERROR(T(VLOOKUP($A29,Players!$A:$E,2,FALSE)),"")</f>
        <v/>
      </c>
      <c r="D29" s="7">
        <f>IFERROR(T(VLOOKUP($A29,Players!$A:$E,3,FALSE)),"")</f>
        <v/>
      </c>
      <c r="E29" s="5">
        <f>IFERROR(T(VLOOKUP($A29,Players!$A:$E,4,FALSE)),"")</f>
        <v/>
      </c>
      <c r="F29" s="5">
        <f>IFERROR(T(VLOOKUP($A29,Players!$A:$E,5,FALSE)),"")</f>
        <v/>
      </c>
    </row>
    <row r="30">
      <c r="A30" s="8">
        <f t="array" ref="A30">IFERROR(INDEX(Auction!$A$5:$A$1000,SMALL(IF(Auction!$C$5:$C$1000=$A$1,ROW(Auction!$C$5:$C$1000)-ROW(Auction!$C$5)+1),ROWS($A$9:A30))),"")</f>
        <v/>
      </c>
      <c r="B30" s="9">
        <f t="array" ref="B30">IFERROR(INDEX(Auction!$B$5:$B$1000,SMALL(IF(Auction!$C$5:$C$1000=$A$1,ROW(Auction!$C$5:$C$1000)-ROW(Auction!$C$5)+1),ROWS($A$9:A30))),"")</f>
        <v/>
      </c>
      <c r="C30" s="10">
        <f>IFERROR(T(VLOOKUP($A30,Players!$A:$E,2,FALSE)),"")</f>
        <v/>
      </c>
      <c r="D30" s="10">
        <f>IFERROR(T(VLOOKUP($A30,Players!$A:$E,3,FALSE)),"")</f>
        <v/>
      </c>
      <c r="E30" s="8">
        <f>IFERROR(T(VLOOKUP($A30,Players!$A:$E,4,FALSE)),"")</f>
        <v/>
      </c>
      <c r="F30" s="8">
        <f>IFERROR(T(VLOOKUP($A30,Players!$A:$E,5,FALSE)),"")</f>
        <v/>
      </c>
    </row>
    <row r="31">
      <c r="A31" s="5">
        <f t="array" ref="A31">IFERROR(INDEX(Auction!$A$5:$A$1000,SMALL(IF(Auction!$C$5:$C$1000=$A$1,ROW(Auction!$C$5:$C$1000)-ROW(Auction!$C$5)+1),ROWS($A$9:A31))),"")</f>
        <v/>
      </c>
      <c r="B31" s="6">
        <f t="array" ref="B31">IFERROR(INDEX(Auction!$B$5:$B$1000,SMALL(IF(Auction!$C$5:$C$1000=$A$1,ROW(Auction!$C$5:$C$1000)-ROW(Auction!$C$5)+1),ROWS($A$9:A31))),"")</f>
        <v/>
      </c>
      <c r="C31" s="7">
        <f>IFERROR(T(VLOOKUP($A31,Players!$A:$E,2,FALSE)),"")</f>
        <v/>
      </c>
      <c r="D31" s="7">
        <f>IFERROR(T(VLOOKUP($A31,Players!$A:$E,3,FALSE)),"")</f>
        <v/>
      </c>
      <c r="E31" s="5">
        <f>IFERROR(T(VLOOKUP($A31,Players!$A:$E,4,FALSE)),"")</f>
        <v/>
      </c>
      <c r="F31" s="5">
        <f>IFERROR(T(VLOOKUP($A31,Players!$A:$E,5,FALSE)),"")</f>
        <v/>
      </c>
    </row>
    <row r="32">
      <c r="A32" s="8">
        <f t="array" ref="A32">IFERROR(INDEX(Auction!$A$5:$A$1000,SMALL(IF(Auction!$C$5:$C$1000=$A$1,ROW(Auction!$C$5:$C$1000)-ROW(Auction!$C$5)+1),ROWS($A$9:A32))),"")</f>
        <v/>
      </c>
      <c r="B32" s="9">
        <f t="array" ref="B32">IFERROR(INDEX(Auction!$B$5:$B$1000,SMALL(IF(Auction!$C$5:$C$1000=$A$1,ROW(Auction!$C$5:$C$1000)-ROW(Auction!$C$5)+1),ROWS($A$9:A32))),"")</f>
        <v/>
      </c>
      <c r="C32" s="10">
        <f>IFERROR(T(VLOOKUP($A32,Players!$A:$E,2,FALSE)),"")</f>
        <v/>
      </c>
      <c r="D32" s="10">
        <f>IFERROR(T(VLOOKUP($A32,Players!$A:$E,3,FALSE)),"")</f>
        <v/>
      </c>
      <c r="E32" s="8">
        <f>IFERROR(T(VLOOKUP($A32,Players!$A:$E,4,FALSE)),"")</f>
        <v/>
      </c>
      <c r="F32" s="8">
        <f>IFERROR(T(VLOOKUP($A32,Players!$A:$E,5,FALSE)),"")</f>
        <v/>
      </c>
    </row>
    <row r="33">
      <c r="A33" s="5">
        <f t="array" ref="A33">IFERROR(INDEX(Auction!$A$5:$A$1000,SMALL(IF(Auction!$C$5:$C$1000=$A$1,ROW(Auction!$C$5:$C$1000)-ROW(Auction!$C$5)+1),ROWS($A$9:A33))),"")</f>
        <v/>
      </c>
      <c r="B33" s="6">
        <f t="array" ref="B33">IFERROR(INDEX(Auction!$B$5:$B$1000,SMALL(IF(Auction!$C$5:$C$1000=$A$1,ROW(Auction!$C$5:$C$1000)-ROW(Auction!$C$5)+1),ROWS($A$9:A33))),"")</f>
        <v/>
      </c>
      <c r="C33" s="7">
        <f>IFERROR(T(VLOOKUP($A33,Players!$A:$E,2,FALSE)),"")</f>
        <v/>
      </c>
      <c r="D33" s="7">
        <f>IFERROR(T(VLOOKUP($A33,Players!$A:$E,3,FALSE)),"")</f>
        <v/>
      </c>
      <c r="E33" s="5">
        <f>IFERROR(T(VLOOKUP($A33,Players!$A:$E,4,FALSE)),"")</f>
        <v/>
      </c>
      <c r="F33" s="5">
        <f>IFERROR(T(VLOOKUP($A33,Players!$A:$E,5,FALSE)),"")</f>
        <v/>
      </c>
    </row>
    <row r="34">
      <c r="A34" s="8">
        <f t="array" ref="A34">IFERROR(INDEX(Auction!$A$5:$A$1000,SMALL(IF(Auction!$C$5:$C$1000=$A$1,ROW(Auction!$C$5:$C$1000)-ROW(Auction!$C$5)+1),ROWS($A$9:A34))),"")</f>
        <v/>
      </c>
      <c r="B34" s="9">
        <f t="array" ref="B34">IFERROR(INDEX(Auction!$B$5:$B$1000,SMALL(IF(Auction!$C$5:$C$1000=$A$1,ROW(Auction!$C$5:$C$1000)-ROW(Auction!$C$5)+1),ROWS($A$9:A34))),"")</f>
        <v/>
      </c>
      <c r="C34" s="10">
        <f>IFERROR(T(VLOOKUP($A34,Players!$A:$E,2,FALSE)),"")</f>
        <v/>
      </c>
      <c r="D34" s="10">
        <f>IFERROR(T(VLOOKUP($A34,Players!$A:$E,3,FALSE)),"")</f>
        <v/>
      </c>
      <c r="E34" s="8">
        <f>IFERROR(T(VLOOKUP($A34,Players!$A:$E,4,FALSE)),"")</f>
        <v/>
      </c>
      <c r="F34" s="8">
        <f>IFERROR(T(VLOOKUP($A34,Players!$A:$E,5,FALSE)),"")</f>
        <v/>
      </c>
    </row>
    <row r="35">
      <c r="A35" s="5">
        <f t="array" ref="A35">IFERROR(INDEX(Auction!$A$5:$A$1000,SMALL(IF(Auction!$C$5:$C$1000=$A$1,ROW(Auction!$C$5:$C$1000)-ROW(Auction!$C$5)+1),ROWS($A$9:A35))),"")</f>
        <v/>
      </c>
      <c r="B35" s="6">
        <f t="array" ref="B35">IFERROR(INDEX(Auction!$B$5:$B$1000,SMALL(IF(Auction!$C$5:$C$1000=$A$1,ROW(Auction!$C$5:$C$1000)-ROW(Auction!$C$5)+1),ROWS($A$9:A35))),"")</f>
        <v/>
      </c>
      <c r="C35" s="7">
        <f>IFERROR(T(VLOOKUP($A35,Players!$A:$E,2,FALSE)),"")</f>
        <v/>
      </c>
      <c r="D35" s="7">
        <f>IFERROR(T(VLOOKUP($A35,Players!$A:$E,3,FALSE)),"")</f>
        <v/>
      </c>
      <c r="E35" s="5">
        <f>IFERROR(T(VLOOKUP($A35,Players!$A:$E,4,FALSE)),"")</f>
        <v/>
      </c>
      <c r="F35" s="5">
        <f>IFERROR(T(VLOOKUP($A35,Players!$A:$E,5,FALSE)),"")</f>
        <v/>
      </c>
    </row>
    <row r="36">
      <c r="A36" s="8">
        <f t="array" ref="A36">IFERROR(INDEX(Auction!$A$5:$A$1000,SMALL(IF(Auction!$C$5:$C$1000=$A$1,ROW(Auction!$C$5:$C$1000)-ROW(Auction!$C$5)+1),ROWS($A$9:A36))),"")</f>
        <v/>
      </c>
      <c r="B36" s="9">
        <f t="array" ref="B36">IFERROR(INDEX(Auction!$B$5:$B$1000,SMALL(IF(Auction!$C$5:$C$1000=$A$1,ROW(Auction!$C$5:$C$1000)-ROW(Auction!$C$5)+1),ROWS($A$9:A36))),"")</f>
        <v/>
      </c>
      <c r="C36" s="10">
        <f>IFERROR(T(VLOOKUP($A36,Players!$A:$E,2,FALSE)),"")</f>
        <v/>
      </c>
      <c r="D36" s="10">
        <f>IFERROR(T(VLOOKUP($A36,Players!$A:$E,3,FALSE)),"")</f>
        <v/>
      </c>
      <c r="E36" s="8">
        <f>IFERROR(T(VLOOKUP($A36,Players!$A:$E,4,FALSE)),"")</f>
        <v/>
      </c>
      <c r="F36" s="8">
        <f>IFERROR(T(VLOOKUP($A36,Players!$A:$E,5,FALSE)),"")</f>
        <v/>
      </c>
    </row>
    <row r="37">
      <c r="A37" s="5">
        <f t="array" ref="A37">IFERROR(INDEX(Auction!$A$5:$A$1000,SMALL(IF(Auction!$C$5:$C$1000=$A$1,ROW(Auction!$C$5:$C$1000)-ROW(Auction!$C$5)+1),ROWS($A$9:A37))),"")</f>
        <v/>
      </c>
      <c r="B37" s="6">
        <f t="array" ref="B37">IFERROR(INDEX(Auction!$B$5:$B$1000,SMALL(IF(Auction!$C$5:$C$1000=$A$1,ROW(Auction!$C$5:$C$1000)-ROW(Auction!$C$5)+1),ROWS($A$9:A37))),"")</f>
        <v/>
      </c>
      <c r="C37" s="7">
        <f>IFERROR(T(VLOOKUP($A37,Players!$A:$E,2,FALSE)),"")</f>
        <v/>
      </c>
      <c r="D37" s="7">
        <f>IFERROR(T(VLOOKUP($A37,Players!$A:$E,3,FALSE)),"")</f>
        <v/>
      </c>
      <c r="E37" s="5">
        <f>IFERROR(T(VLOOKUP($A37,Players!$A:$E,4,FALSE)),"")</f>
        <v/>
      </c>
      <c r="F37" s="5">
        <f>IFERROR(T(VLOOKUP($A37,Players!$A:$E,5,FALSE)),"")</f>
        <v/>
      </c>
    </row>
    <row r="38">
      <c r="A38" s="8">
        <f t="array" ref="A38">IFERROR(INDEX(Auction!$A$5:$A$1000,SMALL(IF(Auction!$C$5:$C$1000=$A$1,ROW(Auction!$C$5:$C$1000)-ROW(Auction!$C$5)+1),ROWS($A$9:A38))),"")</f>
        <v/>
      </c>
      <c r="B38" s="9">
        <f t="array" ref="B38">IFERROR(INDEX(Auction!$B$5:$B$1000,SMALL(IF(Auction!$C$5:$C$1000=$A$1,ROW(Auction!$C$5:$C$1000)-ROW(Auction!$C$5)+1),ROWS($A$9:A38))),"")</f>
        <v/>
      </c>
      <c r="C38" s="10">
        <f>IFERROR(T(VLOOKUP($A38,Players!$A:$E,2,FALSE)),"")</f>
        <v/>
      </c>
      <c r="D38" s="10">
        <f>IFERROR(T(VLOOKUP($A38,Players!$A:$E,3,FALSE)),"")</f>
        <v/>
      </c>
      <c r="E38" s="8">
        <f>IFERROR(T(VLOOKUP($A38,Players!$A:$E,4,FALSE)),"")</f>
        <v/>
      </c>
      <c r="F38" s="8">
        <f>IFERROR(T(VLOOKUP($A38,Players!$A:$E,5,FALSE)),"")</f>
        <v/>
      </c>
    </row>
    <row r="39">
      <c r="A39" s="5">
        <f t="array" ref="A39">IFERROR(INDEX(Auction!$A$5:$A$1000,SMALL(IF(Auction!$C$5:$C$1000=$A$1,ROW(Auction!$C$5:$C$1000)-ROW(Auction!$C$5)+1),ROWS($A$9:A39))),"")</f>
        <v/>
      </c>
      <c r="B39" s="6">
        <f t="array" ref="B39">IFERROR(INDEX(Auction!$B$5:$B$1000,SMALL(IF(Auction!$C$5:$C$1000=$A$1,ROW(Auction!$C$5:$C$1000)-ROW(Auction!$C$5)+1),ROWS($A$9:A39))),"")</f>
        <v/>
      </c>
      <c r="C39" s="7">
        <f>IFERROR(T(VLOOKUP($A39,Players!$A:$E,2,FALSE)),"")</f>
        <v/>
      </c>
      <c r="D39" s="7">
        <f>IFERROR(T(VLOOKUP($A39,Players!$A:$E,3,FALSE)),"")</f>
        <v/>
      </c>
      <c r="E39" s="5">
        <f>IFERROR(T(VLOOKUP($A39,Players!$A:$E,4,FALSE)),"")</f>
        <v/>
      </c>
      <c r="F39" s="5">
        <f>IFERROR(T(VLOOKUP($A39,Players!$A:$E,5,FALSE)),"")</f>
        <v/>
      </c>
    </row>
    <row r="40">
      <c r="A40" s="8">
        <f t="array" ref="A40">IFERROR(INDEX(Auction!$A$5:$A$1000,SMALL(IF(Auction!$C$5:$C$1000=$A$1,ROW(Auction!$C$5:$C$1000)-ROW(Auction!$C$5)+1),ROWS($A$9:A40))),"")</f>
        <v/>
      </c>
      <c r="B40" s="9">
        <f t="array" ref="B40">IFERROR(INDEX(Auction!$B$5:$B$1000,SMALL(IF(Auction!$C$5:$C$1000=$A$1,ROW(Auction!$C$5:$C$1000)-ROW(Auction!$C$5)+1),ROWS($A$9:A40))),"")</f>
        <v/>
      </c>
      <c r="C40" s="10">
        <f>IFERROR(T(VLOOKUP($A40,Players!$A:$E,2,FALSE)),"")</f>
        <v/>
      </c>
      <c r="D40" s="10">
        <f>IFERROR(T(VLOOKUP($A40,Players!$A:$E,3,FALSE)),"")</f>
        <v/>
      </c>
      <c r="E40" s="8">
        <f>IFERROR(T(VLOOKUP($A40,Players!$A:$E,4,FALSE)),"")</f>
        <v/>
      </c>
      <c r="F40" s="8">
        <f>IFERROR(T(VLOOKUP($A40,Players!$A:$E,5,FALSE)),"")</f>
        <v/>
      </c>
    </row>
    <row r="41">
      <c r="A41" s="5">
        <f t="array" ref="A41">IFERROR(INDEX(Auction!$A$5:$A$1000,SMALL(IF(Auction!$C$5:$C$1000=$A$1,ROW(Auction!$C$5:$C$1000)-ROW(Auction!$C$5)+1),ROWS($A$9:A41))),"")</f>
        <v/>
      </c>
      <c r="B41" s="6">
        <f t="array" ref="B41">IFERROR(INDEX(Auction!$B$5:$B$1000,SMALL(IF(Auction!$C$5:$C$1000=$A$1,ROW(Auction!$C$5:$C$1000)-ROW(Auction!$C$5)+1),ROWS($A$9:A41))),"")</f>
        <v/>
      </c>
      <c r="C41" s="7">
        <f>IFERROR(T(VLOOKUP($A41,Players!$A:$E,2,FALSE)),"")</f>
        <v/>
      </c>
      <c r="D41" s="7">
        <f>IFERROR(T(VLOOKUP($A41,Players!$A:$E,3,FALSE)),"")</f>
        <v/>
      </c>
      <c r="E41" s="5">
        <f>IFERROR(T(VLOOKUP($A41,Players!$A:$E,4,FALSE)),"")</f>
        <v/>
      </c>
      <c r="F41" s="5">
        <f>IFERROR(T(VLOOKUP($A41,Players!$A:$E,5,FALSE)),"")</f>
        <v/>
      </c>
    </row>
    <row r="42">
      <c r="A42" s="8">
        <f t="array" ref="A42">IFERROR(INDEX(Auction!$A$5:$A$1000,SMALL(IF(Auction!$C$5:$C$1000=$A$1,ROW(Auction!$C$5:$C$1000)-ROW(Auction!$C$5)+1),ROWS($A$9:A42))),"")</f>
        <v/>
      </c>
      <c r="B42" s="9">
        <f t="array" ref="B42">IFERROR(INDEX(Auction!$B$5:$B$1000,SMALL(IF(Auction!$C$5:$C$1000=$A$1,ROW(Auction!$C$5:$C$1000)-ROW(Auction!$C$5)+1),ROWS($A$9:A42))),"")</f>
        <v/>
      </c>
      <c r="C42" s="10">
        <f>IFERROR(T(VLOOKUP($A42,Players!$A:$E,2,FALSE)),"")</f>
        <v/>
      </c>
      <c r="D42" s="10">
        <f>IFERROR(T(VLOOKUP($A42,Players!$A:$E,3,FALSE)),"")</f>
        <v/>
      </c>
      <c r="E42" s="8">
        <f>IFERROR(T(VLOOKUP($A42,Players!$A:$E,4,FALSE)),"")</f>
        <v/>
      </c>
      <c r="F42" s="8">
        <f>IFERROR(T(VLOOKUP($A42,Players!$A:$E,5,FALSE)),"")</f>
        <v/>
      </c>
    </row>
    <row r="43">
      <c r="A43" s="5">
        <f t="array" ref="A43">IFERROR(INDEX(Auction!$A$5:$A$1000,SMALL(IF(Auction!$C$5:$C$1000=$A$1,ROW(Auction!$C$5:$C$1000)-ROW(Auction!$C$5)+1),ROWS($A$9:A43))),"")</f>
        <v/>
      </c>
      <c r="B43" s="6">
        <f t="array" ref="B43">IFERROR(INDEX(Auction!$B$5:$B$1000,SMALL(IF(Auction!$C$5:$C$1000=$A$1,ROW(Auction!$C$5:$C$1000)-ROW(Auction!$C$5)+1),ROWS($A$9:A43))),"")</f>
        <v/>
      </c>
      <c r="C43" s="7">
        <f>IFERROR(T(VLOOKUP($A43,Players!$A:$E,2,FALSE)),"")</f>
        <v/>
      </c>
      <c r="D43" s="7">
        <f>IFERROR(T(VLOOKUP($A43,Players!$A:$E,3,FALSE)),"")</f>
        <v/>
      </c>
      <c r="E43" s="5">
        <f>IFERROR(T(VLOOKUP($A43,Players!$A:$E,4,FALSE)),"")</f>
        <v/>
      </c>
      <c r="F43" s="5">
        <f>IFERROR(T(VLOOKUP($A43,Players!$A:$E,5,FALSE)),"")</f>
        <v/>
      </c>
    </row>
    <row r="44">
      <c r="A44" s="8">
        <f t="array" ref="A44">IFERROR(INDEX(Auction!$A$5:$A$1000,SMALL(IF(Auction!$C$5:$C$1000=$A$1,ROW(Auction!$C$5:$C$1000)-ROW(Auction!$C$5)+1),ROWS($A$9:A44))),"")</f>
        <v/>
      </c>
      <c r="B44" s="9">
        <f t="array" ref="B44">IFERROR(INDEX(Auction!$B$5:$B$1000,SMALL(IF(Auction!$C$5:$C$1000=$A$1,ROW(Auction!$C$5:$C$1000)-ROW(Auction!$C$5)+1),ROWS($A$9:A44))),"")</f>
        <v/>
      </c>
      <c r="C44" s="10">
        <f>IFERROR(T(VLOOKUP($A44,Players!$A:$E,2,FALSE)),"")</f>
        <v/>
      </c>
      <c r="D44" s="10">
        <f>IFERROR(T(VLOOKUP($A44,Players!$A:$E,3,FALSE)),"")</f>
        <v/>
      </c>
      <c r="E44" s="8">
        <f>IFERROR(T(VLOOKUP($A44,Players!$A:$E,4,FALSE)),"")</f>
        <v/>
      </c>
      <c r="F44" s="8">
        <f>IFERROR(T(VLOOKUP($A44,Players!$A:$E,5,FALSE)),"")</f>
        <v/>
      </c>
    </row>
    <row r="45">
      <c r="A45" s="5">
        <f t="array" ref="A45">IFERROR(INDEX(Auction!$A$5:$A$1000,SMALL(IF(Auction!$C$5:$C$1000=$A$1,ROW(Auction!$C$5:$C$1000)-ROW(Auction!$C$5)+1),ROWS($A$9:A45))),"")</f>
        <v/>
      </c>
      <c r="B45" s="6">
        <f t="array" ref="B45">IFERROR(INDEX(Auction!$B$5:$B$1000,SMALL(IF(Auction!$C$5:$C$1000=$A$1,ROW(Auction!$C$5:$C$1000)-ROW(Auction!$C$5)+1),ROWS($A$9:A45))),"")</f>
        <v/>
      </c>
      <c r="C45" s="7">
        <f>IFERROR(T(VLOOKUP($A45,Players!$A:$E,2,FALSE)),"")</f>
        <v/>
      </c>
      <c r="D45" s="7">
        <f>IFERROR(T(VLOOKUP($A45,Players!$A:$E,3,FALSE)),"")</f>
        <v/>
      </c>
      <c r="E45" s="5">
        <f>IFERROR(T(VLOOKUP($A45,Players!$A:$E,4,FALSE)),"")</f>
        <v/>
      </c>
      <c r="F45" s="5">
        <f>IFERROR(T(VLOOKUP($A45,Players!$A:$E,5,FALSE)),"")</f>
        <v/>
      </c>
    </row>
    <row r="46">
      <c r="A46" s="8">
        <f t="array" ref="A46">IFERROR(INDEX(Auction!$A$5:$A$1000,SMALL(IF(Auction!$C$5:$C$1000=$A$1,ROW(Auction!$C$5:$C$1000)-ROW(Auction!$C$5)+1),ROWS($A$9:A46))),"")</f>
        <v/>
      </c>
      <c r="B46" s="9">
        <f t="array" ref="B46">IFERROR(INDEX(Auction!$B$5:$B$1000,SMALL(IF(Auction!$C$5:$C$1000=$A$1,ROW(Auction!$C$5:$C$1000)-ROW(Auction!$C$5)+1),ROWS($A$9:A46))),"")</f>
        <v/>
      </c>
      <c r="C46" s="10">
        <f>IFERROR(T(VLOOKUP($A46,Players!$A:$E,2,FALSE)),"")</f>
        <v/>
      </c>
      <c r="D46" s="10">
        <f>IFERROR(T(VLOOKUP($A46,Players!$A:$E,3,FALSE)),"")</f>
        <v/>
      </c>
      <c r="E46" s="8">
        <f>IFERROR(T(VLOOKUP($A46,Players!$A:$E,4,FALSE)),"")</f>
        <v/>
      </c>
      <c r="F46" s="8">
        <f>IFERROR(T(VLOOKUP($A46,Players!$A:$E,5,FALSE)),"")</f>
        <v/>
      </c>
    </row>
    <row r="47">
      <c r="A47" s="5">
        <f t="array" ref="A47">IFERROR(INDEX(Auction!$A$5:$A$1000,SMALL(IF(Auction!$C$5:$C$1000=$A$1,ROW(Auction!$C$5:$C$1000)-ROW(Auction!$C$5)+1),ROWS($A$9:A47))),"")</f>
        <v/>
      </c>
      <c r="B47" s="6">
        <f t="array" ref="B47">IFERROR(INDEX(Auction!$B$5:$B$1000,SMALL(IF(Auction!$C$5:$C$1000=$A$1,ROW(Auction!$C$5:$C$1000)-ROW(Auction!$C$5)+1),ROWS($A$9:A47))),"")</f>
        <v/>
      </c>
      <c r="C47" s="7">
        <f>IFERROR(T(VLOOKUP($A47,Players!$A:$E,2,FALSE)),"")</f>
        <v/>
      </c>
      <c r="D47" s="7">
        <f>IFERROR(T(VLOOKUP($A47,Players!$A:$E,3,FALSE)),"")</f>
        <v/>
      </c>
      <c r="E47" s="5">
        <f>IFERROR(T(VLOOKUP($A47,Players!$A:$E,4,FALSE)),"")</f>
        <v/>
      </c>
      <c r="F47" s="5">
        <f>IFERROR(T(VLOOKUP($A47,Players!$A:$E,5,FALSE)),"")</f>
        <v/>
      </c>
    </row>
    <row r="48">
      <c r="A48" s="8">
        <f t="array" ref="A48">IFERROR(INDEX(Auction!$A$5:$A$1000,SMALL(IF(Auction!$C$5:$C$1000=$A$1,ROW(Auction!$C$5:$C$1000)-ROW(Auction!$C$5)+1),ROWS($A$9:A48))),"")</f>
        <v/>
      </c>
      <c r="B48" s="9">
        <f t="array" ref="B48">IFERROR(INDEX(Auction!$B$5:$B$1000,SMALL(IF(Auction!$C$5:$C$1000=$A$1,ROW(Auction!$C$5:$C$1000)-ROW(Auction!$C$5)+1),ROWS($A$9:A48))),"")</f>
        <v/>
      </c>
      <c r="C48" s="10">
        <f>IFERROR(T(VLOOKUP($A48,Players!$A:$E,2,FALSE)),"")</f>
        <v/>
      </c>
      <c r="D48" s="10">
        <f>IFERROR(T(VLOOKUP($A48,Players!$A:$E,3,FALSE)),"")</f>
        <v/>
      </c>
      <c r="E48" s="8">
        <f>IFERROR(T(VLOOKUP($A48,Players!$A:$E,4,FALSE)),"")</f>
        <v/>
      </c>
      <c r="F48" s="8">
        <f>IFERROR(T(VLOOKUP($A48,Players!$A:$E,5,FALSE)),"")</f>
        <v/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5E8C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8" customWidth="1" min="4" max="4"/>
    <col width="14" customWidth="1" min="5" max="5"/>
    <col width="15" customWidth="1" min="6" max="6"/>
  </cols>
  <sheetData>
    <row r="1" ht="28" customHeight="1">
      <c r="A1" s="22">
        <f>Balance!A13</f>
        <v/>
      </c>
    </row>
    <row r="3">
      <c r="A3" s="23" t="inlineStr">
        <is>
          <t>Purse (Cr)</t>
        </is>
      </c>
      <c r="B3" s="24">
        <f>Balance!B13</f>
        <v/>
      </c>
    </row>
    <row r="4">
      <c r="A4" s="23" t="inlineStr">
        <is>
          <t>Spent (Cr)</t>
        </is>
      </c>
      <c r="B4" s="24">
        <f>Balance!C13</f>
        <v/>
      </c>
    </row>
    <row r="5">
      <c r="A5" s="25" t="inlineStr">
        <is>
          <t>Balance (Cr)</t>
        </is>
      </c>
      <c r="B5" s="26">
        <f>Balance!D13</f>
        <v/>
      </c>
    </row>
    <row r="6">
      <c r="A6" s="27" t="inlineStr">
        <is>
          <t>Players</t>
        </is>
      </c>
      <c r="B6" s="28">
        <f>Balance!E13</f>
        <v/>
      </c>
    </row>
    <row r="8">
      <c r="A8" s="3" t="inlineStr">
        <is>
          <t>Player</t>
        </is>
      </c>
      <c r="B8" s="3" t="inlineStr">
        <is>
          <t>Price (Cr)</t>
        </is>
      </c>
      <c r="C8" s="3" t="inlineStr">
        <is>
          <t>Role</t>
        </is>
      </c>
      <c r="D8" s="3" t="inlineStr">
        <is>
          <t>Hand</t>
        </is>
      </c>
      <c r="E8" s="3" t="inlineStr">
        <is>
          <t>Country</t>
        </is>
      </c>
      <c r="F8" s="3" t="inlineStr">
        <is>
          <t>City</t>
        </is>
      </c>
    </row>
    <row r="9">
      <c r="A9" s="5">
        <f t="array" ref="A9">IFERROR(INDEX(Auction!$A$5:$A$1000,SMALL(IF(Auction!$C$5:$C$1000=$A$1,ROW(Auction!$C$5:$C$1000)-ROW(Auction!$C$5)+1),ROWS($A$9:A9))),"")</f>
        <v/>
      </c>
      <c r="B9" s="6">
        <f t="array" ref="B9">IFERROR(INDEX(Auction!$B$5:$B$1000,SMALL(IF(Auction!$C$5:$C$1000=$A$1,ROW(Auction!$C$5:$C$1000)-ROW(Auction!$C$5)+1),ROWS($A$9:A9))),"")</f>
        <v/>
      </c>
      <c r="C9" s="7">
        <f>IFERROR(T(VLOOKUP($A9,Players!$A:$E,2,FALSE)),"")</f>
        <v/>
      </c>
      <c r="D9" s="7">
        <f>IFERROR(T(VLOOKUP($A9,Players!$A:$E,3,FALSE)),"")</f>
        <v/>
      </c>
      <c r="E9" s="5">
        <f>IFERROR(T(VLOOKUP($A9,Players!$A:$E,4,FALSE)),"")</f>
        <v/>
      </c>
      <c r="F9" s="5">
        <f>IFERROR(T(VLOOKUP($A9,Players!$A:$E,5,FALSE)),"")</f>
        <v/>
      </c>
    </row>
    <row r="10">
      <c r="A10" s="8">
        <f t="array" ref="A10">IFERROR(INDEX(Auction!$A$5:$A$1000,SMALL(IF(Auction!$C$5:$C$1000=$A$1,ROW(Auction!$C$5:$C$1000)-ROW(Auction!$C$5)+1),ROWS($A$9:A10))),"")</f>
        <v/>
      </c>
      <c r="B10" s="9">
        <f t="array" ref="B10">IFERROR(INDEX(Auction!$B$5:$B$1000,SMALL(IF(Auction!$C$5:$C$1000=$A$1,ROW(Auction!$C$5:$C$1000)-ROW(Auction!$C$5)+1),ROWS($A$9:A10))),"")</f>
        <v/>
      </c>
      <c r="C10" s="10">
        <f>IFERROR(T(VLOOKUP($A10,Players!$A:$E,2,FALSE)),"")</f>
        <v/>
      </c>
      <c r="D10" s="10">
        <f>IFERROR(T(VLOOKUP($A10,Players!$A:$E,3,FALSE)),"")</f>
        <v/>
      </c>
      <c r="E10" s="8">
        <f>IFERROR(T(VLOOKUP($A10,Players!$A:$E,4,FALSE)),"")</f>
        <v/>
      </c>
      <c r="F10" s="8">
        <f>IFERROR(T(VLOOKUP($A10,Players!$A:$E,5,FALSE)),"")</f>
        <v/>
      </c>
    </row>
    <row r="11">
      <c r="A11" s="5">
        <f t="array" ref="A11">IFERROR(INDEX(Auction!$A$5:$A$1000,SMALL(IF(Auction!$C$5:$C$1000=$A$1,ROW(Auction!$C$5:$C$1000)-ROW(Auction!$C$5)+1),ROWS($A$9:A11))),"")</f>
        <v/>
      </c>
      <c r="B11" s="6">
        <f t="array" ref="B11">IFERROR(INDEX(Auction!$B$5:$B$1000,SMALL(IF(Auction!$C$5:$C$1000=$A$1,ROW(Auction!$C$5:$C$1000)-ROW(Auction!$C$5)+1),ROWS($A$9:A11))),"")</f>
        <v/>
      </c>
      <c r="C11" s="7">
        <f>IFERROR(T(VLOOKUP($A11,Players!$A:$E,2,FALSE)),"")</f>
        <v/>
      </c>
      <c r="D11" s="7">
        <f>IFERROR(T(VLOOKUP($A11,Players!$A:$E,3,FALSE)),"")</f>
        <v/>
      </c>
      <c r="E11" s="5">
        <f>IFERROR(T(VLOOKUP($A11,Players!$A:$E,4,FALSE)),"")</f>
        <v/>
      </c>
      <c r="F11" s="5">
        <f>IFERROR(T(VLOOKUP($A11,Players!$A:$E,5,FALSE)),"")</f>
        <v/>
      </c>
    </row>
    <row r="12">
      <c r="A12" s="8">
        <f t="array" ref="A12">IFERROR(INDEX(Auction!$A$5:$A$1000,SMALL(IF(Auction!$C$5:$C$1000=$A$1,ROW(Auction!$C$5:$C$1000)-ROW(Auction!$C$5)+1),ROWS($A$9:A12))),"")</f>
        <v/>
      </c>
      <c r="B12" s="9">
        <f t="array" ref="B12">IFERROR(INDEX(Auction!$B$5:$B$1000,SMALL(IF(Auction!$C$5:$C$1000=$A$1,ROW(Auction!$C$5:$C$1000)-ROW(Auction!$C$5)+1),ROWS($A$9:A12))),"")</f>
        <v/>
      </c>
      <c r="C12" s="10">
        <f>IFERROR(T(VLOOKUP($A12,Players!$A:$E,2,FALSE)),"")</f>
        <v/>
      </c>
      <c r="D12" s="10">
        <f>IFERROR(T(VLOOKUP($A12,Players!$A:$E,3,FALSE)),"")</f>
        <v/>
      </c>
      <c r="E12" s="8">
        <f>IFERROR(T(VLOOKUP($A12,Players!$A:$E,4,FALSE)),"")</f>
        <v/>
      </c>
      <c r="F12" s="8">
        <f>IFERROR(T(VLOOKUP($A12,Players!$A:$E,5,FALSE)),"")</f>
        <v/>
      </c>
    </row>
    <row r="13">
      <c r="A13" s="5">
        <f t="array" ref="A13">IFERROR(INDEX(Auction!$A$5:$A$1000,SMALL(IF(Auction!$C$5:$C$1000=$A$1,ROW(Auction!$C$5:$C$1000)-ROW(Auction!$C$5)+1),ROWS($A$9:A13))),"")</f>
        <v/>
      </c>
      <c r="B13" s="6">
        <f t="array" ref="B13">IFERROR(INDEX(Auction!$B$5:$B$1000,SMALL(IF(Auction!$C$5:$C$1000=$A$1,ROW(Auction!$C$5:$C$1000)-ROW(Auction!$C$5)+1),ROWS($A$9:A13))),"")</f>
        <v/>
      </c>
      <c r="C13" s="7">
        <f>IFERROR(T(VLOOKUP($A13,Players!$A:$E,2,FALSE)),"")</f>
        <v/>
      </c>
      <c r="D13" s="7">
        <f>IFERROR(T(VLOOKUP($A13,Players!$A:$E,3,FALSE)),"")</f>
        <v/>
      </c>
      <c r="E13" s="5">
        <f>IFERROR(T(VLOOKUP($A13,Players!$A:$E,4,FALSE)),"")</f>
        <v/>
      </c>
      <c r="F13" s="5">
        <f>IFERROR(T(VLOOKUP($A13,Players!$A:$E,5,FALSE)),"")</f>
        <v/>
      </c>
    </row>
    <row r="14">
      <c r="A14" s="8">
        <f t="array" ref="A14">IFERROR(INDEX(Auction!$A$5:$A$1000,SMALL(IF(Auction!$C$5:$C$1000=$A$1,ROW(Auction!$C$5:$C$1000)-ROW(Auction!$C$5)+1),ROWS($A$9:A14))),"")</f>
        <v/>
      </c>
      <c r="B14" s="9">
        <f t="array" ref="B14">IFERROR(INDEX(Auction!$B$5:$B$1000,SMALL(IF(Auction!$C$5:$C$1000=$A$1,ROW(Auction!$C$5:$C$1000)-ROW(Auction!$C$5)+1),ROWS($A$9:A14))),"")</f>
        <v/>
      </c>
      <c r="C14" s="10">
        <f>IFERROR(T(VLOOKUP($A14,Players!$A:$E,2,FALSE)),"")</f>
        <v/>
      </c>
      <c r="D14" s="10">
        <f>IFERROR(T(VLOOKUP($A14,Players!$A:$E,3,FALSE)),"")</f>
        <v/>
      </c>
      <c r="E14" s="8">
        <f>IFERROR(T(VLOOKUP($A14,Players!$A:$E,4,FALSE)),"")</f>
        <v/>
      </c>
      <c r="F14" s="8">
        <f>IFERROR(T(VLOOKUP($A14,Players!$A:$E,5,FALSE)),"")</f>
        <v/>
      </c>
    </row>
    <row r="15">
      <c r="A15" s="5">
        <f t="array" ref="A15">IFERROR(INDEX(Auction!$A$5:$A$1000,SMALL(IF(Auction!$C$5:$C$1000=$A$1,ROW(Auction!$C$5:$C$1000)-ROW(Auction!$C$5)+1),ROWS($A$9:A15))),"")</f>
        <v/>
      </c>
      <c r="B15" s="6">
        <f t="array" ref="B15">IFERROR(INDEX(Auction!$B$5:$B$1000,SMALL(IF(Auction!$C$5:$C$1000=$A$1,ROW(Auction!$C$5:$C$1000)-ROW(Auction!$C$5)+1),ROWS($A$9:A15))),"")</f>
        <v/>
      </c>
      <c r="C15" s="7">
        <f>IFERROR(T(VLOOKUP($A15,Players!$A:$E,2,FALSE)),"")</f>
        <v/>
      </c>
      <c r="D15" s="7">
        <f>IFERROR(T(VLOOKUP($A15,Players!$A:$E,3,FALSE)),"")</f>
        <v/>
      </c>
      <c r="E15" s="5">
        <f>IFERROR(T(VLOOKUP($A15,Players!$A:$E,4,FALSE)),"")</f>
        <v/>
      </c>
      <c r="F15" s="5">
        <f>IFERROR(T(VLOOKUP($A15,Players!$A:$E,5,FALSE)),"")</f>
        <v/>
      </c>
    </row>
    <row r="16">
      <c r="A16" s="8">
        <f t="array" ref="A16">IFERROR(INDEX(Auction!$A$5:$A$1000,SMALL(IF(Auction!$C$5:$C$1000=$A$1,ROW(Auction!$C$5:$C$1000)-ROW(Auction!$C$5)+1),ROWS($A$9:A16))),"")</f>
        <v/>
      </c>
      <c r="B16" s="9">
        <f t="array" ref="B16">IFERROR(INDEX(Auction!$B$5:$B$1000,SMALL(IF(Auction!$C$5:$C$1000=$A$1,ROW(Auction!$C$5:$C$1000)-ROW(Auction!$C$5)+1),ROWS($A$9:A16))),"")</f>
        <v/>
      </c>
      <c r="C16" s="10">
        <f>IFERROR(T(VLOOKUP($A16,Players!$A:$E,2,FALSE)),"")</f>
        <v/>
      </c>
      <c r="D16" s="10">
        <f>IFERROR(T(VLOOKUP($A16,Players!$A:$E,3,FALSE)),"")</f>
        <v/>
      </c>
      <c r="E16" s="8">
        <f>IFERROR(T(VLOOKUP($A16,Players!$A:$E,4,FALSE)),"")</f>
        <v/>
      </c>
      <c r="F16" s="8">
        <f>IFERROR(T(VLOOKUP($A16,Players!$A:$E,5,FALSE)),"")</f>
        <v/>
      </c>
    </row>
    <row r="17">
      <c r="A17" s="5">
        <f t="array" ref="A17">IFERROR(INDEX(Auction!$A$5:$A$1000,SMALL(IF(Auction!$C$5:$C$1000=$A$1,ROW(Auction!$C$5:$C$1000)-ROW(Auction!$C$5)+1),ROWS($A$9:A17))),"")</f>
        <v/>
      </c>
      <c r="B17" s="6">
        <f t="array" ref="B17">IFERROR(INDEX(Auction!$B$5:$B$1000,SMALL(IF(Auction!$C$5:$C$1000=$A$1,ROW(Auction!$C$5:$C$1000)-ROW(Auction!$C$5)+1),ROWS($A$9:A17))),"")</f>
        <v/>
      </c>
      <c r="C17" s="7">
        <f>IFERROR(T(VLOOKUP($A17,Players!$A:$E,2,FALSE)),"")</f>
        <v/>
      </c>
      <c r="D17" s="7">
        <f>IFERROR(T(VLOOKUP($A17,Players!$A:$E,3,FALSE)),"")</f>
        <v/>
      </c>
      <c r="E17" s="5">
        <f>IFERROR(T(VLOOKUP($A17,Players!$A:$E,4,FALSE)),"")</f>
        <v/>
      </c>
      <c r="F17" s="5">
        <f>IFERROR(T(VLOOKUP($A17,Players!$A:$E,5,FALSE)),"")</f>
        <v/>
      </c>
    </row>
    <row r="18">
      <c r="A18" s="8">
        <f t="array" ref="A18">IFERROR(INDEX(Auction!$A$5:$A$1000,SMALL(IF(Auction!$C$5:$C$1000=$A$1,ROW(Auction!$C$5:$C$1000)-ROW(Auction!$C$5)+1),ROWS($A$9:A18))),"")</f>
        <v/>
      </c>
      <c r="B18" s="9">
        <f t="array" ref="B18">IFERROR(INDEX(Auction!$B$5:$B$1000,SMALL(IF(Auction!$C$5:$C$1000=$A$1,ROW(Auction!$C$5:$C$1000)-ROW(Auction!$C$5)+1),ROWS($A$9:A18))),"")</f>
        <v/>
      </c>
      <c r="C18" s="10">
        <f>IFERROR(T(VLOOKUP($A18,Players!$A:$E,2,FALSE)),"")</f>
        <v/>
      </c>
      <c r="D18" s="10">
        <f>IFERROR(T(VLOOKUP($A18,Players!$A:$E,3,FALSE)),"")</f>
        <v/>
      </c>
      <c r="E18" s="8">
        <f>IFERROR(T(VLOOKUP($A18,Players!$A:$E,4,FALSE)),"")</f>
        <v/>
      </c>
      <c r="F18" s="8">
        <f>IFERROR(T(VLOOKUP($A18,Players!$A:$E,5,FALSE)),"")</f>
        <v/>
      </c>
    </row>
    <row r="19">
      <c r="A19" s="5">
        <f t="array" ref="A19">IFERROR(INDEX(Auction!$A$5:$A$1000,SMALL(IF(Auction!$C$5:$C$1000=$A$1,ROW(Auction!$C$5:$C$1000)-ROW(Auction!$C$5)+1),ROWS($A$9:A19))),"")</f>
        <v/>
      </c>
      <c r="B19" s="6">
        <f t="array" ref="B19">IFERROR(INDEX(Auction!$B$5:$B$1000,SMALL(IF(Auction!$C$5:$C$1000=$A$1,ROW(Auction!$C$5:$C$1000)-ROW(Auction!$C$5)+1),ROWS($A$9:A19))),"")</f>
        <v/>
      </c>
      <c r="C19" s="7">
        <f>IFERROR(T(VLOOKUP($A19,Players!$A:$E,2,FALSE)),"")</f>
        <v/>
      </c>
      <c r="D19" s="7">
        <f>IFERROR(T(VLOOKUP($A19,Players!$A:$E,3,FALSE)),"")</f>
        <v/>
      </c>
      <c r="E19" s="5">
        <f>IFERROR(T(VLOOKUP($A19,Players!$A:$E,4,FALSE)),"")</f>
        <v/>
      </c>
      <c r="F19" s="5">
        <f>IFERROR(T(VLOOKUP($A19,Players!$A:$E,5,FALSE)),"")</f>
        <v/>
      </c>
    </row>
    <row r="20">
      <c r="A20" s="8">
        <f t="array" ref="A20">IFERROR(INDEX(Auction!$A$5:$A$1000,SMALL(IF(Auction!$C$5:$C$1000=$A$1,ROW(Auction!$C$5:$C$1000)-ROW(Auction!$C$5)+1),ROWS($A$9:A20))),"")</f>
        <v/>
      </c>
      <c r="B20" s="9">
        <f t="array" ref="B20">IFERROR(INDEX(Auction!$B$5:$B$1000,SMALL(IF(Auction!$C$5:$C$1000=$A$1,ROW(Auction!$C$5:$C$1000)-ROW(Auction!$C$5)+1),ROWS($A$9:A20))),"")</f>
        <v/>
      </c>
      <c r="C20" s="10">
        <f>IFERROR(T(VLOOKUP($A20,Players!$A:$E,2,FALSE)),"")</f>
        <v/>
      </c>
      <c r="D20" s="10">
        <f>IFERROR(T(VLOOKUP($A20,Players!$A:$E,3,FALSE)),"")</f>
        <v/>
      </c>
      <c r="E20" s="8">
        <f>IFERROR(T(VLOOKUP($A20,Players!$A:$E,4,FALSE)),"")</f>
        <v/>
      </c>
      <c r="F20" s="8">
        <f>IFERROR(T(VLOOKUP($A20,Players!$A:$E,5,FALSE)),"")</f>
        <v/>
      </c>
    </row>
    <row r="21">
      <c r="A21" s="5">
        <f t="array" ref="A21">IFERROR(INDEX(Auction!$A$5:$A$1000,SMALL(IF(Auction!$C$5:$C$1000=$A$1,ROW(Auction!$C$5:$C$1000)-ROW(Auction!$C$5)+1),ROWS($A$9:A21))),"")</f>
        <v/>
      </c>
      <c r="B21" s="6">
        <f t="array" ref="B21">IFERROR(INDEX(Auction!$B$5:$B$1000,SMALL(IF(Auction!$C$5:$C$1000=$A$1,ROW(Auction!$C$5:$C$1000)-ROW(Auction!$C$5)+1),ROWS($A$9:A21))),"")</f>
        <v/>
      </c>
      <c r="C21" s="7">
        <f>IFERROR(T(VLOOKUP($A21,Players!$A:$E,2,FALSE)),"")</f>
        <v/>
      </c>
      <c r="D21" s="7">
        <f>IFERROR(T(VLOOKUP($A21,Players!$A:$E,3,FALSE)),"")</f>
        <v/>
      </c>
      <c r="E21" s="5">
        <f>IFERROR(T(VLOOKUP($A21,Players!$A:$E,4,FALSE)),"")</f>
        <v/>
      </c>
      <c r="F21" s="5">
        <f>IFERROR(T(VLOOKUP($A21,Players!$A:$E,5,FALSE)),"")</f>
        <v/>
      </c>
    </row>
    <row r="22">
      <c r="A22" s="8">
        <f t="array" ref="A22">IFERROR(INDEX(Auction!$A$5:$A$1000,SMALL(IF(Auction!$C$5:$C$1000=$A$1,ROW(Auction!$C$5:$C$1000)-ROW(Auction!$C$5)+1),ROWS($A$9:A22))),"")</f>
        <v/>
      </c>
      <c r="B22" s="9">
        <f t="array" ref="B22">IFERROR(INDEX(Auction!$B$5:$B$1000,SMALL(IF(Auction!$C$5:$C$1000=$A$1,ROW(Auction!$C$5:$C$1000)-ROW(Auction!$C$5)+1),ROWS($A$9:A22))),"")</f>
        <v/>
      </c>
      <c r="C22" s="10">
        <f>IFERROR(T(VLOOKUP($A22,Players!$A:$E,2,FALSE)),"")</f>
        <v/>
      </c>
      <c r="D22" s="10">
        <f>IFERROR(T(VLOOKUP($A22,Players!$A:$E,3,FALSE)),"")</f>
        <v/>
      </c>
      <c r="E22" s="8">
        <f>IFERROR(T(VLOOKUP($A22,Players!$A:$E,4,FALSE)),"")</f>
        <v/>
      </c>
      <c r="F22" s="8">
        <f>IFERROR(T(VLOOKUP($A22,Players!$A:$E,5,FALSE)),"")</f>
        <v/>
      </c>
    </row>
    <row r="23">
      <c r="A23" s="5">
        <f t="array" ref="A23">IFERROR(INDEX(Auction!$A$5:$A$1000,SMALL(IF(Auction!$C$5:$C$1000=$A$1,ROW(Auction!$C$5:$C$1000)-ROW(Auction!$C$5)+1),ROWS($A$9:A23))),"")</f>
        <v/>
      </c>
      <c r="B23" s="6">
        <f t="array" ref="B23">IFERROR(INDEX(Auction!$B$5:$B$1000,SMALL(IF(Auction!$C$5:$C$1000=$A$1,ROW(Auction!$C$5:$C$1000)-ROW(Auction!$C$5)+1),ROWS($A$9:A23))),"")</f>
        <v/>
      </c>
      <c r="C23" s="7">
        <f>IFERROR(T(VLOOKUP($A23,Players!$A:$E,2,FALSE)),"")</f>
        <v/>
      </c>
      <c r="D23" s="7">
        <f>IFERROR(T(VLOOKUP($A23,Players!$A:$E,3,FALSE)),"")</f>
        <v/>
      </c>
      <c r="E23" s="5">
        <f>IFERROR(T(VLOOKUP($A23,Players!$A:$E,4,FALSE)),"")</f>
        <v/>
      </c>
      <c r="F23" s="5">
        <f>IFERROR(T(VLOOKUP($A23,Players!$A:$E,5,FALSE)),"")</f>
        <v/>
      </c>
    </row>
    <row r="24">
      <c r="A24" s="8">
        <f t="array" ref="A24">IFERROR(INDEX(Auction!$A$5:$A$1000,SMALL(IF(Auction!$C$5:$C$1000=$A$1,ROW(Auction!$C$5:$C$1000)-ROW(Auction!$C$5)+1),ROWS($A$9:A24))),"")</f>
        <v/>
      </c>
      <c r="B24" s="9">
        <f t="array" ref="B24">IFERROR(INDEX(Auction!$B$5:$B$1000,SMALL(IF(Auction!$C$5:$C$1000=$A$1,ROW(Auction!$C$5:$C$1000)-ROW(Auction!$C$5)+1),ROWS($A$9:A24))),"")</f>
        <v/>
      </c>
      <c r="C24" s="10">
        <f>IFERROR(T(VLOOKUP($A24,Players!$A:$E,2,FALSE)),"")</f>
        <v/>
      </c>
      <c r="D24" s="10">
        <f>IFERROR(T(VLOOKUP($A24,Players!$A:$E,3,FALSE)),"")</f>
        <v/>
      </c>
      <c r="E24" s="8">
        <f>IFERROR(T(VLOOKUP($A24,Players!$A:$E,4,FALSE)),"")</f>
        <v/>
      </c>
      <c r="F24" s="8">
        <f>IFERROR(T(VLOOKUP($A24,Players!$A:$E,5,FALSE)),"")</f>
        <v/>
      </c>
    </row>
    <row r="25">
      <c r="A25" s="5">
        <f t="array" ref="A25">IFERROR(INDEX(Auction!$A$5:$A$1000,SMALL(IF(Auction!$C$5:$C$1000=$A$1,ROW(Auction!$C$5:$C$1000)-ROW(Auction!$C$5)+1),ROWS($A$9:A25))),"")</f>
        <v/>
      </c>
      <c r="B25" s="6">
        <f t="array" ref="B25">IFERROR(INDEX(Auction!$B$5:$B$1000,SMALL(IF(Auction!$C$5:$C$1000=$A$1,ROW(Auction!$C$5:$C$1000)-ROW(Auction!$C$5)+1),ROWS($A$9:A25))),"")</f>
        <v/>
      </c>
      <c r="C25" s="7">
        <f>IFERROR(T(VLOOKUP($A25,Players!$A:$E,2,FALSE)),"")</f>
        <v/>
      </c>
      <c r="D25" s="7">
        <f>IFERROR(T(VLOOKUP($A25,Players!$A:$E,3,FALSE)),"")</f>
        <v/>
      </c>
      <c r="E25" s="5">
        <f>IFERROR(T(VLOOKUP($A25,Players!$A:$E,4,FALSE)),"")</f>
        <v/>
      </c>
      <c r="F25" s="5">
        <f>IFERROR(T(VLOOKUP($A25,Players!$A:$E,5,FALSE)),"")</f>
        <v/>
      </c>
    </row>
    <row r="26">
      <c r="A26" s="8">
        <f t="array" ref="A26">IFERROR(INDEX(Auction!$A$5:$A$1000,SMALL(IF(Auction!$C$5:$C$1000=$A$1,ROW(Auction!$C$5:$C$1000)-ROW(Auction!$C$5)+1),ROWS($A$9:A26))),"")</f>
        <v/>
      </c>
      <c r="B26" s="9">
        <f t="array" ref="B26">IFERROR(INDEX(Auction!$B$5:$B$1000,SMALL(IF(Auction!$C$5:$C$1000=$A$1,ROW(Auction!$C$5:$C$1000)-ROW(Auction!$C$5)+1),ROWS($A$9:A26))),"")</f>
        <v/>
      </c>
      <c r="C26" s="10">
        <f>IFERROR(T(VLOOKUP($A26,Players!$A:$E,2,FALSE)),"")</f>
        <v/>
      </c>
      <c r="D26" s="10">
        <f>IFERROR(T(VLOOKUP($A26,Players!$A:$E,3,FALSE)),"")</f>
        <v/>
      </c>
      <c r="E26" s="8">
        <f>IFERROR(T(VLOOKUP($A26,Players!$A:$E,4,FALSE)),"")</f>
        <v/>
      </c>
      <c r="F26" s="8">
        <f>IFERROR(T(VLOOKUP($A26,Players!$A:$E,5,FALSE)),"")</f>
        <v/>
      </c>
    </row>
    <row r="27">
      <c r="A27" s="5">
        <f t="array" ref="A27">IFERROR(INDEX(Auction!$A$5:$A$1000,SMALL(IF(Auction!$C$5:$C$1000=$A$1,ROW(Auction!$C$5:$C$1000)-ROW(Auction!$C$5)+1),ROWS($A$9:A27))),"")</f>
        <v/>
      </c>
      <c r="B27" s="6">
        <f t="array" ref="B27">IFERROR(INDEX(Auction!$B$5:$B$1000,SMALL(IF(Auction!$C$5:$C$1000=$A$1,ROW(Auction!$C$5:$C$1000)-ROW(Auction!$C$5)+1),ROWS($A$9:A27))),"")</f>
        <v/>
      </c>
      <c r="C27" s="7">
        <f>IFERROR(T(VLOOKUP($A27,Players!$A:$E,2,FALSE)),"")</f>
        <v/>
      </c>
      <c r="D27" s="7">
        <f>IFERROR(T(VLOOKUP($A27,Players!$A:$E,3,FALSE)),"")</f>
        <v/>
      </c>
      <c r="E27" s="5">
        <f>IFERROR(T(VLOOKUP($A27,Players!$A:$E,4,FALSE)),"")</f>
        <v/>
      </c>
      <c r="F27" s="5">
        <f>IFERROR(T(VLOOKUP($A27,Players!$A:$E,5,FALSE)),"")</f>
        <v/>
      </c>
    </row>
    <row r="28">
      <c r="A28" s="8">
        <f t="array" ref="A28">IFERROR(INDEX(Auction!$A$5:$A$1000,SMALL(IF(Auction!$C$5:$C$1000=$A$1,ROW(Auction!$C$5:$C$1000)-ROW(Auction!$C$5)+1),ROWS($A$9:A28))),"")</f>
        <v/>
      </c>
      <c r="B28" s="9">
        <f t="array" ref="B28">IFERROR(INDEX(Auction!$B$5:$B$1000,SMALL(IF(Auction!$C$5:$C$1000=$A$1,ROW(Auction!$C$5:$C$1000)-ROW(Auction!$C$5)+1),ROWS($A$9:A28))),"")</f>
        <v/>
      </c>
      <c r="C28" s="10">
        <f>IFERROR(T(VLOOKUP($A28,Players!$A:$E,2,FALSE)),"")</f>
        <v/>
      </c>
      <c r="D28" s="10">
        <f>IFERROR(T(VLOOKUP($A28,Players!$A:$E,3,FALSE)),"")</f>
        <v/>
      </c>
      <c r="E28" s="8">
        <f>IFERROR(T(VLOOKUP($A28,Players!$A:$E,4,FALSE)),"")</f>
        <v/>
      </c>
      <c r="F28" s="8">
        <f>IFERROR(T(VLOOKUP($A28,Players!$A:$E,5,FALSE)),"")</f>
        <v/>
      </c>
    </row>
    <row r="29">
      <c r="A29" s="5">
        <f t="array" ref="A29">IFERROR(INDEX(Auction!$A$5:$A$1000,SMALL(IF(Auction!$C$5:$C$1000=$A$1,ROW(Auction!$C$5:$C$1000)-ROW(Auction!$C$5)+1),ROWS($A$9:A29))),"")</f>
        <v/>
      </c>
      <c r="B29" s="6">
        <f t="array" ref="B29">IFERROR(INDEX(Auction!$B$5:$B$1000,SMALL(IF(Auction!$C$5:$C$1000=$A$1,ROW(Auction!$C$5:$C$1000)-ROW(Auction!$C$5)+1),ROWS($A$9:A29))),"")</f>
        <v/>
      </c>
      <c r="C29" s="7">
        <f>IFERROR(T(VLOOKUP($A29,Players!$A:$E,2,FALSE)),"")</f>
        <v/>
      </c>
      <c r="D29" s="7">
        <f>IFERROR(T(VLOOKUP($A29,Players!$A:$E,3,FALSE)),"")</f>
        <v/>
      </c>
      <c r="E29" s="5">
        <f>IFERROR(T(VLOOKUP($A29,Players!$A:$E,4,FALSE)),"")</f>
        <v/>
      </c>
      <c r="F29" s="5">
        <f>IFERROR(T(VLOOKUP($A29,Players!$A:$E,5,FALSE)),"")</f>
        <v/>
      </c>
    </row>
    <row r="30">
      <c r="A30" s="8">
        <f t="array" ref="A30">IFERROR(INDEX(Auction!$A$5:$A$1000,SMALL(IF(Auction!$C$5:$C$1000=$A$1,ROW(Auction!$C$5:$C$1000)-ROW(Auction!$C$5)+1),ROWS($A$9:A30))),"")</f>
        <v/>
      </c>
      <c r="B30" s="9">
        <f t="array" ref="B30">IFERROR(INDEX(Auction!$B$5:$B$1000,SMALL(IF(Auction!$C$5:$C$1000=$A$1,ROW(Auction!$C$5:$C$1000)-ROW(Auction!$C$5)+1),ROWS($A$9:A30))),"")</f>
        <v/>
      </c>
      <c r="C30" s="10">
        <f>IFERROR(T(VLOOKUP($A30,Players!$A:$E,2,FALSE)),"")</f>
        <v/>
      </c>
      <c r="D30" s="10">
        <f>IFERROR(T(VLOOKUP($A30,Players!$A:$E,3,FALSE)),"")</f>
        <v/>
      </c>
      <c r="E30" s="8">
        <f>IFERROR(T(VLOOKUP($A30,Players!$A:$E,4,FALSE)),"")</f>
        <v/>
      </c>
      <c r="F30" s="8">
        <f>IFERROR(T(VLOOKUP($A30,Players!$A:$E,5,FALSE)),"")</f>
        <v/>
      </c>
    </row>
    <row r="31">
      <c r="A31" s="5">
        <f t="array" ref="A31">IFERROR(INDEX(Auction!$A$5:$A$1000,SMALL(IF(Auction!$C$5:$C$1000=$A$1,ROW(Auction!$C$5:$C$1000)-ROW(Auction!$C$5)+1),ROWS($A$9:A31))),"")</f>
        <v/>
      </c>
      <c r="B31" s="6">
        <f t="array" ref="B31">IFERROR(INDEX(Auction!$B$5:$B$1000,SMALL(IF(Auction!$C$5:$C$1000=$A$1,ROW(Auction!$C$5:$C$1000)-ROW(Auction!$C$5)+1),ROWS($A$9:A31))),"")</f>
        <v/>
      </c>
      <c r="C31" s="7">
        <f>IFERROR(T(VLOOKUP($A31,Players!$A:$E,2,FALSE)),"")</f>
        <v/>
      </c>
      <c r="D31" s="7">
        <f>IFERROR(T(VLOOKUP($A31,Players!$A:$E,3,FALSE)),"")</f>
        <v/>
      </c>
      <c r="E31" s="5">
        <f>IFERROR(T(VLOOKUP($A31,Players!$A:$E,4,FALSE)),"")</f>
        <v/>
      </c>
      <c r="F31" s="5">
        <f>IFERROR(T(VLOOKUP($A31,Players!$A:$E,5,FALSE)),"")</f>
        <v/>
      </c>
    </row>
    <row r="32">
      <c r="A32" s="8">
        <f t="array" ref="A32">IFERROR(INDEX(Auction!$A$5:$A$1000,SMALL(IF(Auction!$C$5:$C$1000=$A$1,ROW(Auction!$C$5:$C$1000)-ROW(Auction!$C$5)+1),ROWS($A$9:A32))),"")</f>
        <v/>
      </c>
      <c r="B32" s="9">
        <f t="array" ref="B32">IFERROR(INDEX(Auction!$B$5:$B$1000,SMALL(IF(Auction!$C$5:$C$1000=$A$1,ROW(Auction!$C$5:$C$1000)-ROW(Auction!$C$5)+1),ROWS($A$9:A32))),"")</f>
        <v/>
      </c>
      <c r="C32" s="10">
        <f>IFERROR(T(VLOOKUP($A32,Players!$A:$E,2,FALSE)),"")</f>
        <v/>
      </c>
      <c r="D32" s="10">
        <f>IFERROR(T(VLOOKUP($A32,Players!$A:$E,3,FALSE)),"")</f>
        <v/>
      </c>
      <c r="E32" s="8">
        <f>IFERROR(T(VLOOKUP($A32,Players!$A:$E,4,FALSE)),"")</f>
        <v/>
      </c>
      <c r="F32" s="8">
        <f>IFERROR(T(VLOOKUP($A32,Players!$A:$E,5,FALSE)),"")</f>
        <v/>
      </c>
    </row>
    <row r="33">
      <c r="A33" s="5">
        <f t="array" ref="A33">IFERROR(INDEX(Auction!$A$5:$A$1000,SMALL(IF(Auction!$C$5:$C$1000=$A$1,ROW(Auction!$C$5:$C$1000)-ROW(Auction!$C$5)+1),ROWS($A$9:A33))),"")</f>
        <v/>
      </c>
      <c r="B33" s="6">
        <f t="array" ref="B33">IFERROR(INDEX(Auction!$B$5:$B$1000,SMALL(IF(Auction!$C$5:$C$1000=$A$1,ROW(Auction!$C$5:$C$1000)-ROW(Auction!$C$5)+1),ROWS($A$9:A33))),"")</f>
        <v/>
      </c>
      <c r="C33" s="7">
        <f>IFERROR(T(VLOOKUP($A33,Players!$A:$E,2,FALSE)),"")</f>
        <v/>
      </c>
      <c r="D33" s="7">
        <f>IFERROR(T(VLOOKUP($A33,Players!$A:$E,3,FALSE)),"")</f>
        <v/>
      </c>
      <c r="E33" s="5">
        <f>IFERROR(T(VLOOKUP($A33,Players!$A:$E,4,FALSE)),"")</f>
        <v/>
      </c>
      <c r="F33" s="5">
        <f>IFERROR(T(VLOOKUP($A33,Players!$A:$E,5,FALSE)),"")</f>
        <v/>
      </c>
    </row>
    <row r="34">
      <c r="A34" s="8">
        <f t="array" ref="A34">IFERROR(INDEX(Auction!$A$5:$A$1000,SMALL(IF(Auction!$C$5:$C$1000=$A$1,ROW(Auction!$C$5:$C$1000)-ROW(Auction!$C$5)+1),ROWS($A$9:A34))),"")</f>
        <v/>
      </c>
      <c r="B34" s="9">
        <f t="array" ref="B34">IFERROR(INDEX(Auction!$B$5:$B$1000,SMALL(IF(Auction!$C$5:$C$1000=$A$1,ROW(Auction!$C$5:$C$1000)-ROW(Auction!$C$5)+1),ROWS($A$9:A34))),"")</f>
        <v/>
      </c>
      <c r="C34" s="10">
        <f>IFERROR(T(VLOOKUP($A34,Players!$A:$E,2,FALSE)),"")</f>
        <v/>
      </c>
      <c r="D34" s="10">
        <f>IFERROR(T(VLOOKUP($A34,Players!$A:$E,3,FALSE)),"")</f>
        <v/>
      </c>
      <c r="E34" s="8">
        <f>IFERROR(T(VLOOKUP($A34,Players!$A:$E,4,FALSE)),"")</f>
        <v/>
      </c>
      <c r="F34" s="8">
        <f>IFERROR(T(VLOOKUP($A34,Players!$A:$E,5,FALSE)),"")</f>
        <v/>
      </c>
    </row>
    <row r="35">
      <c r="A35" s="5">
        <f t="array" ref="A35">IFERROR(INDEX(Auction!$A$5:$A$1000,SMALL(IF(Auction!$C$5:$C$1000=$A$1,ROW(Auction!$C$5:$C$1000)-ROW(Auction!$C$5)+1),ROWS($A$9:A35))),"")</f>
        <v/>
      </c>
      <c r="B35" s="6">
        <f t="array" ref="B35">IFERROR(INDEX(Auction!$B$5:$B$1000,SMALL(IF(Auction!$C$5:$C$1000=$A$1,ROW(Auction!$C$5:$C$1000)-ROW(Auction!$C$5)+1),ROWS($A$9:A35))),"")</f>
        <v/>
      </c>
      <c r="C35" s="7">
        <f>IFERROR(T(VLOOKUP($A35,Players!$A:$E,2,FALSE)),"")</f>
        <v/>
      </c>
      <c r="D35" s="7">
        <f>IFERROR(T(VLOOKUP($A35,Players!$A:$E,3,FALSE)),"")</f>
        <v/>
      </c>
      <c r="E35" s="5">
        <f>IFERROR(T(VLOOKUP($A35,Players!$A:$E,4,FALSE)),"")</f>
        <v/>
      </c>
      <c r="F35" s="5">
        <f>IFERROR(T(VLOOKUP($A35,Players!$A:$E,5,FALSE)),"")</f>
        <v/>
      </c>
    </row>
    <row r="36">
      <c r="A36" s="8">
        <f t="array" ref="A36">IFERROR(INDEX(Auction!$A$5:$A$1000,SMALL(IF(Auction!$C$5:$C$1000=$A$1,ROW(Auction!$C$5:$C$1000)-ROW(Auction!$C$5)+1),ROWS($A$9:A36))),"")</f>
        <v/>
      </c>
      <c r="B36" s="9">
        <f t="array" ref="B36">IFERROR(INDEX(Auction!$B$5:$B$1000,SMALL(IF(Auction!$C$5:$C$1000=$A$1,ROW(Auction!$C$5:$C$1000)-ROW(Auction!$C$5)+1),ROWS($A$9:A36))),"")</f>
        <v/>
      </c>
      <c r="C36" s="10">
        <f>IFERROR(T(VLOOKUP($A36,Players!$A:$E,2,FALSE)),"")</f>
        <v/>
      </c>
      <c r="D36" s="10">
        <f>IFERROR(T(VLOOKUP($A36,Players!$A:$E,3,FALSE)),"")</f>
        <v/>
      </c>
      <c r="E36" s="8">
        <f>IFERROR(T(VLOOKUP($A36,Players!$A:$E,4,FALSE)),"")</f>
        <v/>
      </c>
      <c r="F36" s="8">
        <f>IFERROR(T(VLOOKUP($A36,Players!$A:$E,5,FALSE)),"")</f>
        <v/>
      </c>
    </row>
    <row r="37">
      <c r="A37" s="5">
        <f t="array" ref="A37">IFERROR(INDEX(Auction!$A$5:$A$1000,SMALL(IF(Auction!$C$5:$C$1000=$A$1,ROW(Auction!$C$5:$C$1000)-ROW(Auction!$C$5)+1),ROWS($A$9:A37))),"")</f>
        <v/>
      </c>
      <c r="B37" s="6">
        <f t="array" ref="B37">IFERROR(INDEX(Auction!$B$5:$B$1000,SMALL(IF(Auction!$C$5:$C$1000=$A$1,ROW(Auction!$C$5:$C$1000)-ROW(Auction!$C$5)+1),ROWS($A$9:A37))),"")</f>
        <v/>
      </c>
      <c r="C37" s="7">
        <f>IFERROR(T(VLOOKUP($A37,Players!$A:$E,2,FALSE)),"")</f>
        <v/>
      </c>
      <c r="D37" s="7">
        <f>IFERROR(T(VLOOKUP($A37,Players!$A:$E,3,FALSE)),"")</f>
        <v/>
      </c>
      <c r="E37" s="5">
        <f>IFERROR(T(VLOOKUP($A37,Players!$A:$E,4,FALSE)),"")</f>
        <v/>
      </c>
      <c r="F37" s="5">
        <f>IFERROR(T(VLOOKUP($A37,Players!$A:$E,5,FALSE)),"")</f>
        <v/>
      </c>
    </row>
    <row r="38">
      <c r="A38" s="8">
        <f t="array" ref="A38">IFERROR(INDEX(Auction!$A$5:$A$1000,SMALL(IF(Auction!$C$5:$C$1000=$A$1,ROW(Auction!$C$5:$C$1000)-ROW(Auction!$C$5)+1),ROWS($A$9:A38))),"")</f>
        <v/>
      </c>
      <c r="B38" s="9">
        <f t="array" ref="B38">IFERROR(INDEX(Auction!$B$5:$B$1000,SMALL(IF(Auction!$C$5:$C$1000=$A$1,ROW(Auction!$C$5:$C$1000)-ROW(Auction!$C$5)+1),ROWS($A$9:A38))),"")</f>
        <v/>
      </c>
      <c r="C38" s="10">
        <f>IFERROR(T(VLOOKUP($A38,Players!$A:$E,2,FALSE)),"")</f>
        <v/>
      </c>
      <c r="D38" s="10">
        <f>IFERROR(T(VLOOKUP($A38,Players!$A:$E,3,FALSE)),"")</f>
        <v/>
      </c>
      <c r="E38" s="8">
        <f>IFERROR(T(VLOOKUP($A38,Players!$A:$E,4,FALSE)),"")</f>
        <v/>
      </c>
      <c r="F38" s="8">
        <f>IFERROR(T(VLOOKUP($A38,Players!$A:$E,5,FALSE)),"")</f>
        <v/>
      </c>
    </row>
    <row r="39">
      <c r="A39" s="5">
        <f t="array" ref="A39">IFERROR(INDEX(Auction!$A$5:$A$1000,SMALL(IF(Auction!$C$5:$C$1000=$A$1,ROW(Auction!$C$5:$C$1000)-ROW(Auction!$C$5)+1),ROWS($A$9:A39))),"")</f>
        <v/>
      </c>
      <c r="B39" s="6">
        <f t="array" ref="B39">IFERROR(INDEX(Auction!$B$5:$B$1000,SMALL(IF(Auction!$C$5:$C$1000=$A$1,ROW(Auction!$C$5:$C$1000)-ROW(Auction!$C$5)+1),ROWS($A$9:A39))),"")</f>
        <v/>
      </c>
      <c r="C39" s="7">
        <f>IFERROR(T(VLOOKUP($A39,Players!$A:$E,2,FALSE)),"")</f>
        <v/>
      </c>
      <c r="D39" s="7">
        <f>IFERROR(T(VLOOKUP($A39,Players!$A:$E,3,FALSE)),"")</f>
        <v/>
      </c>
      <c r="E39" s="5">
        <f>IFERROR(T(VLOOKUP($A39,Players!$A:$E,4,FALSE)),"")</f>
        <v/>
      </c>
      <c r="F39" s="5">
        <f>IFERROR(T(VLOOKUP($A39,Players!$A:$E,5,FALSE)),"")</f>
        <v/>
      </c>
    </row>
    <row r="40">
      <c r="A40" s="8">
        <f t="array" ref="A40">IFERROR(INDEX(Auction!$A$5:$A$1000,SMALL(IF(Auction!$C$5:$C$1000=$A$1,ROW(Auction!$C$5:$C$1000)-ROW(Auction!$C$5)+1),ROWS($A$9:A40))),"")</f>
        <v/>
      </c>
      <c r="B40" s="9">
        <f t="array" ref="B40">IFERROR(INDEX(Auction!$B$5:$B$1000,SMALL(IF(Auction!$C$5:$C$1000=$A$1,ROW(Auction!$C$5:$C$1000)-ROW(Auction!$C$5)+1),ROWS($A$9:A40))),"")</f>
        <v/>
      </c>
      <c r="C40" s="10">
        <f>IFERROR(T(VLOOKUP($A40,Players!$A:$E,2,FALSE)),"")</f>
        <v/>
      </c>
      <c r="D40" s="10">
        <f>IFERROR(T(VLOOKUP($A40,Players!$A:$E,3,FALSE)),"")</f>
        <v/>
      </c>
      <c r="E40" s="8">
        <f>IFERROR(T(VLOOKUP($A40,Players!$A:$E,4,FALSE)),"")</f>
        <v/>
      </c>
      <c r="F40" s="8">
        <f>IFERROR(T(VLOOKUP($A40,Players!$A:$E,5,FALSE)),"")</f>
        <v/>
      </c>
    </row>
    <row r="41">
      <c r="A41" s="5">
        <f t="array" ref="A41">IFERROR(INDEX(Auction!$A$5:$A$1000,SMALL(IF(Auction!$C$5:$C$1000=$A$1,ROW(Auction!$C$5:$C$1000)-ROW(Auction!$C$5)+1),ROWS($A$9:A41))),"")</f>
        <v/>
      </c>
      <c r="B41" s="6">
        <f t="array" ref="B41">IFERROR(INDEX(Auction!$B$5:$B$1000,SMALL(IF(Auction!$C$5:$C$1000=$A$1,ROW(Auction!$C$5:$C$1000)-ROW(Auction!$C$5)+1),ROWS($A$9:A41))),"")</f>
        <v/>
      </c>
      <c r="C41" s="7">
        <f>IFERROR(T(VLOOKUP($A41,Players!$A:$E,2,FALSE)),"")</f>
        <v/>
      </c>
      <c r="D41" s="7">
        <f>IFERROR(T(VLOOKUP($A41,Players!$A:$E,3,FALSE)),"")</f>
        <v/>
      </c>
      <c r="E41" s="5">
        <f>IFERROR(T(VLOOKUP($A41,Players!$A:$E,4,FALSE)),"")</f>
        <v/>
      </c>
      <c r="F41" s="5">
        <f>IFERROR(T(VLOOKUP($A41,Players!$A:$E,5,FALSE)),"")</f>
        <v/>
      </c>
    </row>
    <row r="42">
      <c r="A42" s="8">
        <f t="array" ref="A42">IFERROR(INDEX(Auction!$A$5:$A$1000,SMALL(IF(Auction!$C$5:$C$1000=$A$1,ROW(Auction!$C$5:$C$1000)-ROW(Auction!$C$5)+1),ROWS($A$9:A42))),"")</f>
        <v/>
      </c>
      <c r="B42" s="9">
        <f t="array" ref="B42">IFERROR(INDEX(Auction!$B$5:$B$1000,SMALL(IF(Auction!$C$5:$C$1000=$A$1,ROW(Auction!$C$5:$C$1000)-ROW(Auction!$C$5)+1),ROWS($A$9:A42))),"")</f>
        <v/>
      </c>
      <c r="C42" s="10">
        <f>IFERROR(T(VLOOKUP($A42,Players!$A:$E,2,FALSE)),"")</f>
        <v/>
      </c>
      <c r="D42" s="10">
        <f>IFERROR(T(VLOOKUP($A42,Players!$A:$E,3,FALSE)),"")</f>
        <v/>
      </c>
      <c r="E42" s="8">
        <f>IFERROR(T(VLOOKUP($A42,Players!$A:$E,4,FALSE)),"")</f>
        <v/>
      </c>
      <c r="F42" s="8">
        <f>IFERROR(T(VLOOKUP($A42,Players!$A:$E,5,FALSE)),"")</f>
        <v/>
      </c>
    </row>
    <row r="43">
      <c r="A43" s="5">
        <f t="array" ref="A43">IFERROR(INDEX(Auction!$A$5:$A$1000,SMALL(IF(Auction!$C$5:$C$1000=$A$1,ROW(Auction!$C$5:$C$1000)-ROW(Auction!$C$5)+1),ROWS($A$9:A43))),"")</f>
        <v/>
      </c>
      <c r="B43" s="6">
        <f t="array" ref="B43">IFERROR(INDEX(Auction!$B$5:$B$1000,SMALL(IF(Auction!$C$5:$C$1000=$A$1,ROW(Auction!$C$5:$C$1000)-ROW(Auction!$C$5)+1),ROWS($A$9:A43))),"")</f>
        <v/>
      </c>
      <c r="C43" s="7">
        <f>IFERROR(T(VLOOKUP($A43,Players!$A:$E,2,FALSE)),"")</f>
        <v/>
      </c>
      <c r="D43" s="7">
        <f>IFERROR(T(VLOOKUP($A43,Players!$A:$E,3,FALSE)),"")</f>
        <v/>
      </c>
      <c r="E43" s="5">
        <f>IFERROR(T(VLOOKUP($A43,Players!$A:$E,4,FALSE)),"")</f>
        <v/>
      </c>
      <c r="F43" s="5">
        <f>IFERROR(T(VLOOKUP($A43,Players!$A:$E,5,FALSE)),"")</f>
        <v/>
      </c>
    </row>
    <row r="44">
      <c r="A44" s="8">
        <f t="array" ref="A44">IFERROR(INDEX(Auction!$A$5:$A$1000,SMALL(IF(Auction!$C$5:$C$1000=$A$1,ROW(Auction!$C$5:$C$1000)-ROW(Auction!$C$5)+1),ROWS($A$9:A44))),"")</f>
        <v/>
      </c>
      <c r="B44" s="9">
        <f t="array" ref="B44">IFERROR(INDEX(Auction!$B$5:$B$1000,SMALL(IF(Auction!$C$5:$C$1000=$A$1,ROW(Auction!$C$5:$C$1000)-ROW(Auction!$C$5)+1),ROWS($A$9:A44))),"")</f>
        <v/>
      </c>
      <c r="C44" s="10">
        <f>IFERROR(T(VLOOKUP($A44,Players!$A:$E,2,FALSE)),"")</f>
        <v/>
      </c>
      <c r="D44" s="10">
        <f>IFERROR(T(VLOOKUP($A44,Players!$A:$E,3,FALSE)),"")</f>
        <v/>
      </c>
      <c r="E44" s="8">
        <f>IFERROR(T(VLOOKUP($A44,Players!$A:$E,4,FALSE)),"")</f>
        <v/>
      </c>
      <c r="F44" s="8">
        <f>IFERROR(T(VLOOKUP($A44,Players!$A:$E,5,FALSE)),"")</f>
        <v/>
      </c>
    </row>
    <row r="45">
      <c r="A45" s="5">
        <f t="array" ref="A45">IFERROR(INDEX(Auction!$A$5:$A$1000,SMALL(IF(Auction!$C$5:$C$1000=$A$1,ROW(Auction!$C$5:$C$1000)-ROW(Auction!$C$5)+1),ROWS($A$9:A45))),"")</f>
        <v/>
      </c>
      <c r="B45" s="6">
        <f t="array" ref="B45">IFERROR(INDEX(Auction!$B$5:$B$1000,SMALL(IF(Auction!$C$5:$C$1000=$A$1,ROW(Auction!$C$5:$C$1000)-ROW(Auction!$C$5)+1),ROWS($A$9:A45))),"")</f>
        <v/>
      </c>
      <c r="C45" s="7">
        <f>IFERROR(T(VLOOKUP($A45,Players!$A:$E,2,FALSE)),"")</f>
        <v/>
      </c>
      <c r="D45" s="7">
        <f>IFERROR(T(VLOOKUP($A45,Players!$A:$E,3,FALSE)),"")</f>
        <v/>
      </c>
      <c r="E45" s="5">
        <f>IFERROR(T(VLOOKUP($A45,Players!$A:$E,4,FALSE)),"")</f>
        <v/>
      </c>
      <c r="F45" s="5">
        <f>IFERROR(T(VLOOKUP($A45,Players!$A:$E,5,FALSE)),"")</f>
        <v/>
      </c>
    </row>
    <row r="46">
      <c r="A46" s="8">
        <f t="array" ref="A46">IFERROR(INDEX(Auction!$A$5:$A$1000,SMALL(IF(Auction!$C$5:$C$1000=$A$1,ROW(Auction!$C$5:$C$1000)-ROW(Auction!$C$5)+1),ROWS($A$9:A46))),"")</f>
        <v/>
      </c>
      <c r="B46" s="9">
        <f t="array" ref="B46">IFERROR(INDEX(Auction!$B$5:$B$1000,SMALL(IF(Auction!$C$5:$C$1000=$A$1,ROW(Auction!$C$5:$C$1000)-ROW(Auction!$C$5)+1),ROWS($A$9:A46))),"")</f>
        <v/>
      </c>
      <c r="C46" s="10">
        <f>IFERROR(T(VLOOKUP($A46,Players!$A:$E,2,FALSE)),"")</f>
        <v/>
      </c>
      <c r="D46" s="10">
        <f>IFERROR(T(VLOOKUP($A46,Players!$A:$E,3,FALSE)),"")</f>
        <v/>
      </c>
      <c r="E46" s="8">
        <f>IFERROR(T(VLOOKUP($A46,Players!$A:$E,4,FALSE)),"")</f>
        <v/>
      </c>
      <c r="F46" s="8">
        <f>IFERROR(T(VLOOKUP($A46,Players!$A:$E,5,FALSE)),"")</f>
        <v/>
      </c>
    </row>
    <row r="47">
      <c r="A47" s="5">
        <f t="array" ref="A47">IFERROR(INDEX(Auction!$A$5:$A$1000,SMALL(IF(Auction!$C$5:$C$1000=$A$1,ROW(Auction!$C$5:$C$1000)-ROW(Auction!$C$5)+1),ROWS($A$9:A47))),"")</f>
        <v/>
      </c>
      <c r="B47" s="6">
        <f t="array" ref="B47">IFERROR(INDEX(Auction!$B$5:$B$1000,SMALL(IF(Auction!$C$5:$C$1000=$A$1,ROW(Auction!$C$5:$C$1000)-ROW(Auction!$C$5)+1),ROWS($A$9:A47))),"")</f>
        <v/>
      </c>
      <c r="C47" s="7">
        <f>IFERROR(T(VLOOKUP($A47,Players!$A:$E,2,FALSE)),"")</f>
        <v/>
      </c>
      <c r="D47" s="7">
        <f>IFERROR(T(VLOOKUP($A47,Players!$A:$E,3,FALSE)),"")</f>
        <v/>
      </c>
      <c r="E47" s="5">
        <f>IFERROR(T(VLOOKUP($A47,Players!$A:$E,4,FALSE)),"")</f>
        <v/>
      </c>
      <c r="F47" s="5">
        <f>IFERROR(T(VLOOKUP($A47,Players!$A:$E,5,FALSE)),"")</f>
        <v/>
      </c>
    </row>
    <row r="48">
      <c r="A48" s="8">
        <f t="array" ref="A48">IFERROR(INDEX(Auction!$A$5:$A$1000,SMALL(IF(Auction!$C$5:$C$1000=$A$1,ROW(Auction!$C$5:$C$1000)-ROW(Auction!$C$5)+1),ROWS($A$9:A48))),"")</f>
        <v/>
      </c>
      <c r="B48" s="9">
        <f t="array" ref="B48">IFERROR(INDEX(Auction!$B$5:$B$1000,SMALL(IF(Auction!$C$5:$C$1000=$A$1,ROW(Auction!$C$5:$C$1000)-ROW(Auction!$C$5)+1),ROWS($A$9:A48))),"")</f>
        <v/>
      </c>
      <c r="C48" s="10">
        <f>IFERROR(T(VLOOKUP($A48,Players!$A:$E,2,FALSE)),"")</f>
        <v/>
      </c>
      <c r="D48" s="10">
        <f>IFERROR(T(VLOOKUP($A48,Players!$A:$E,3,FALSE)),"")</f>
        <v/>
      </c>
      <c r="E48" s="8">
        <f>IFERROR(T(VLOOKUP($A48,Players!$A:$E,4,FALSE)),"")</f>
        <v/>
      </c>
      <c r="F48" s="8">
        <f>IFERROR(T(VLOOKUP($A48,Players!$A:$E,5,FALSE)),"")</f>
        <v/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5E8C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8" customWidth="1" min="4" max="4"/>
    <col width="14" customWidth="1" min="5" max="5"/>
    <col width="15" customWidth="1" min="6" max="6"/>
  </cols>
  <sheetData>
    <row r="1" ht="28" customHeight="1">
      <c r="A1" s="22">
        <f>Balance!A14</f>
        <v/>
      </c>
    </row>
    <row r="3">
      <c r="A3" s="23" t="inlineStr">
        <is>
          <t>Purse (Cr)</t>
        </is>
      </c>
      <c r="B3" s="24">
        <f>Balance!B14</f>
        <v/>
      </c>
    </row>
    <row r="4">
      <c r="A4" s="23" t="inlineStr">
        <is>
          <t>Spent (Cr)</t>
        </is>
      </c>
      <c r="B4" s="24">
        <f>Balance!C14</f>
        <v/>
      </c>
    </row>
    <row r="5">
      <c r="A5" s="25" t="inlineStr">
        <is>
          <t>Balance (Cr)</t>
        </is>
      </c>
      <c r="B5" s="26">
        <f>Balance!D14</f>
        <v/>
      </c>
    </row>
    <row r="6">
      <c r="A6" s="27" t="inlineStr">
        <is>
          <t>Players</t>
        </is>
      </c>
      <c r="B6" s="28">
        <f>Balance!E14</f>
        <v/>
      </c>
    </row>
    <row r="8">
      <c r="A8" s="3" t="inlineStr">
        <is>
          <t>Player</t>
        </is>
      </c>
      <c r="B8" s="3" t="inlineStr">
        <is>
          <t>Price (Cr)</t>
        </is>
      </c>
      <c r="C8" s="3" t="inlineStr">
        <is>
          <t>Role</t>
        </is>
      </c>
      <c r="D8" s="3" t="inlineStr">
        <is>
          <t>Hand</t>
        </is>
      </c>
      <c r="E8" s="3" t="inlineStr">
        <is>
          <t>Country</t>
        </is>
      </c>
      <c r="F8" s="3" t="inlineStr">
        <is>
          <t>City</t>
        </is>
      </c>
    </row>
    <row r="9">
      <c r="A9" s="5">
        <f t="array" ref="A9">IFERROR(INDEX(Auction!$A$5:$A$1000,SMALL(IF(Auction!$C$5:$C$1000=$A$1,ROW(Auction!$C$5:$C$1000)-ROW(Auction!$C$5)+1),ROWS($A$9:A9))),"")</f>
        <v/>
      </c>
      <c r="B9" s="6">
        <f t="array" ref="B9">IFERROR(INDEX(Auction!$B$5:$B$1000,SMALL(IF(Auction!$C$5:$C$1000=$A$1,ROW(Auction!$C$5:$C$1000)-ROW(Auction!$C$5)+1),ROWS($A$9:A9))),"")</f>
        <v/>
      </c>
      <c r="C9" s="7">
        <f>IFERROR(T(VLOOKUP($A9,Players!$A:$E,2,FALSE)),"")</f>
        <v/>
      </c>
      <c r="D9" s="7">
        <f>IFERROR(T(VLOOKUP($A9,Players!$A:$E,3,FALSE)),"")</f>
        <v/>
      </c>
      <c r="E9" s="5">
        <f>IFERROR(T(VLOOKUP($A9,Players!$A:$E,4,FALSE)),"")</f>
        <v/>
      </c>
      <c r="F9" s="5">
        <f>IFERROR(T(VLOOKUP($A9,Players!$A:$E,5,FALSE)),"")</f>
        <v/>
      </c>
    </row>
    <row r="10">
      <c r="A10" s="8">
        <f t="array" ref="A10">IFERROR(INDEX(Auction!$A$5:$A$1000,SMALL(IF(Auction!$C$5:$C$1000=$A$1,ROW(Auction!$C$5:$C$1000)-ROW(Auction!$C$5)+1),ROWS($A$9:A10))),"")</f>
        <v/>
      </c>
      <c r="B10" s="9">
        <f t="array" ref="B10">IFERROR(INDEX(Auction!$B$5:$B$1000,SMALL(IF(Auction!$C$5:$C$1000=$A$1,ROW(Auction!$C$5:$C$1000)-ROW(Auction!$C$5)+1),ROWS($A$9:A10))),"")</f>
        <v/>
      </c>
      <c r="C10" s="10">
        <f>IFERROR(T(VLOOKUP($A10,Players!$A:$E,2,FALSE)),"")</f>
        <v/>
      </c>
      <c r="D10" s="10">
        <f>IFERROR(T(VLOOKUP($A10,Players!$A:$E,3,FALSE)),"")</f>
        <v/>
      </c>
      <c r="E10" s="8">
        <f>IFERROR(T(VLOOKUP($A10,Players!$A:$E,4,FALSE)),"")</f>
        <v/>
      </c>
      <c r="F10" s="8">
        <f>IFERROR(T(VLOOKUP($A10,Players!$A:$E,5,FALSE)),"")</f>
        <v/>
      </c>
    </row>
    <row r="11">
      <c r="A11" s="5">
        <f t="array" ref="A11">IFERROR(INDEX(Auction!$A$5:$A$1000,SMALL(IF(Auction!$C$5:$C$1000=$A$1,ROW(Auction!$C$5:$C$1000)-ROW(Auction!$C$5)+1),ROWS($A$9:A11))),"")</f>
        <v/>
      </c>
      <c r="B11" s="6">
        <f t="array" ref="B11">IFERROR(INDEX(Auction!$B$5:$B$1000,SMALL(IF(Auction!$C$5:$C$1000=$A$1,ROW(Auction!$C$5:$C$1000)-ROW(Auction!$C$5)+1),ROWS($A$9:A11))),"")</f>
        <v/>
      </c>
      <c r="C11" s="7">
        <f>IFERROR(T(VLOOKUP($A11,Players!$A:$E,2,FALSE)),"")</f>
        <v/>
      </c>
      <c r="D11" s="7">
        <f>IFERROR(T(VLOOKUP($A11,Players!$A:$E,3,FALSE)),"")</f>
        <v/>
      </c>
      <c r="E11" s="5">
        <f>IFERROR(T(VLOOKUP($A11,Players!$A:$E,4,FALSE)),"")</f>
        <v/>
      </c>
      <c r="F11" s="5">
        <f>IFERROR(T(VLOOKUP($A11,Players!$A:$E,5,FALSE)),"")</f>
        <v/>
      </c>
    </row>
    <row r="12">
      <c r="A12" s="8">
        <f t="array" ref="A12">IFERROR(INDEX(Auction!$A$5:$A$1000,SMALL(IF(Auction!$C$5:$C$1000=$A$1,ROW(Auction!$C$5:$C$1000)-ROW(Auction!$C$5)+1),ROWS($A$9:A12))),"")</f>
        <v/>
      </c>
      <c r="B12" s="9">
        <f t="array" ref="B12">IFERROR(INDEX(Auction!$B$5:$B$1000,SMALL(IF(Auction!$C$5:$C$1000=$A$1,ROW(Auction!$C$5:$C$1000)-ROW(Auction!$C$5)+1),ROWS($A$9:A12))),"")</f>
        <v/>
      </c>
      <c r="C12" s="10">
        <f>IFERROR(T(VLOOKUP($A12,Players!$A:$E,2,FALSE)),"")</f>
        <v/>
      </c>
      <c r="D12" s="10">
        <f>IFERROR(T(VLOOKUP($A12,Players!$A:$E,3,FALSE)),"")</f>
        <v/>
      </c>
      <c r="E12" s="8">
        <f>IFERROR(T(VLOOKUP($A12,Players!$A:$E,4,FALSE)),"")</f>
        <v/>
      </c>
      <c r="F12" s="8">
        <f>IFERROR(T(VLOOKUP($A12,Players!$A:$E,5,FALSE)),"")</f>
        <v/>
      </c>
    </row>
    <row r="13">
      <c r="A13" s="5">
        <f t="array" ref="A13">IFERROR(INDEX(Auction!$A$5:$A$1000,SMALL(IF(Auction!$C$5:$C$1000=$A$1,ROW(Auction!$C$5:$C$1000)-ROW(Auction!$C$5)+1),ROWS($A$9:A13))),"")</f>
        <v/>
      </c>
      <c r="B13" s="6">
        <f t="array" ref="B13">IFERROR(INDEX(Auction!$B$5:$B$1000,SMALL(IF(Auction!$C$5:$C$1000=$A$1,ROW(Auction!$C$5:$C$1000)-ROW(Auction!$C$5)+1),ROWS($A$9:A13))),"")</f>
        <v/>
      </c>
      <c r="C13" s="7">
        <f>IFERROR(T(VLOOKUP($A13,Players!$A:$E,2,FALSE)),"")</f>
        <v/>
      </c>
      <c r="D13" s="7">
        <f>IFERROR(T(VLOOKUP($A13,Players!$A:$E,3,FALSE)),"")</f>
        <v/>
      </c>
      <c r="E13" s="5">
        <f>IFERROR(T(VLOOKUP($A13,Players!$A:$E,4,FALSE)),"")</f>
        <v/>
      </c>
      <c r="F13" s="5">
        <f>IFERROR(T(VLOOKUP($A13,Players!$A:$E,5,FALSE)),"")</f>
        <v/>
      </c>
    </row>
    <row r="14">
      <c r="A14" s="8">
        <f t="array" ref="A14">IFERROR(INDEX(Auction!$A$5:$A$1000,SMALL(IF(Auction!$C$5:$C$1000=$A$1,ROW(Auction!$C$5:$C$1000)-ROW(Auction!$C$5)+1),ROWS($A$9:A14))),"")</f>
        <v/>
      </c>
      <c r="B14" s="9">
        <f t="array" ref="B14">IFERROR(INDEX(Auction!$B$5:$B$1000,SMALL(IF(Auction!$C$5:$C$1000=$A$1,ROW(Auction!$C$5:$C$1000)-ROW(Auction!$C$5)+1),ROWS($A$9:A14))),"")</f>
        <v/>
      </c>
      <c r="C14" s="10">
        <f>IFERROR(T(VLOOKUP($A14,Players!$A:$E,2,FALSE)),"")</f>
        <v/>
      </c>
      <c r="D14" s="10">
        <f>IFERROR(T(VLOOKUP($A14,Players!$A:$E,3,FALSE)),"")</f>
        <v/>
      </c>
      <c r="E14" s="8">
        <f>IFERROR(T(VLOOKUP($A14,Players!$A:$E,4,FALSE)),"")</f>
        <v/>
      </c>
      <c r="F14" s="8">
        <f>IFERROR(T(VLOOKUP($A14,Players!$A:$E,5,FALSE)),"")</f>
        <v/>
      </c>
    </row>
    <row r="15">
      <c r="A15" s="5">
        <f t="array" ref="A15">IFERROR(INDEX(Auction!$A$5:$A$1000,SMALL(IF(Auction!$C$5:$C$1000=$A$1,ROW(Auction!$C$5:$C$1000)-ROW(Auction!$C$5)+1),ROWS($A$9:A15))),"")</f>
        <v/>
      </c>
      <c r="B15" s="6">
        <f t="array" ref="B15">IFERROR(INDEX(Auction!$B$5:$B$1000,SMALL(IF(Auction!$C$5:$C$1000=$A$1,ROW(Auction!$C$5:$C$1000)-ROW(Auction!$C$5)+1),ROWS($A$9:A15))),"")</f>
        <v/>
      </c>
      <c r="C15" s="7">
        <f>IFERROR(T(VLOOKUP($A15,Players!$A:$E,2,FALSE)),"")</f>
        <v/>
      </c>
      <c r="D15" s="7">
        <f>IFERROR(T(VLOOKUP($A15,Players!$A:$E,3,FALSE)),"")</f>
        <v/>
      </c>
      <c r="E15" s="5">
        <f>IFERROR(T(VLOOKUP($A15,Players!$A:$E,4,FALSE)),"")</f>
        <v/>
      </c>
      <c r="F15" s="5">
        <f>IFERROR(T(VLOOKUP($A15,Players!$A:$E,5,FALSE)),"")</f>
        <v/>
      </c>
    </row>
    <row r="16">
      <c r="A16" s="8">
        <f t="array" ref="A16">IFERROR(INDEX(Auction!$A$5:$A$1000,SMALL(IF(Auction!$C$5:$C$1000=$A$1,ROW(Auction!$C$5:$C$1000)-ROW(Auction!$C$5)+1),ROWS($A$9:A16))),"")</f>
        <v/>
      </c>
      <c r="B16" s="9">
        <f t="array" ref="B16">IFERROR(INDEX(Auction!$B$5:$B$1000,SMALL(IF(Auction!$C$5:$C$1000=$A$1,ROW(Auction!$C$5:$C$1000)-ROW(Auction!$C$5)+1),ROWS($A$9:A16))),"")</f>
        <v/>
      </c>
      <c r="C16" s="10">
        <f>IFERROR(T(VLOOKUP($A16,Players!$A:$E,2,FALSE)),"")</f>
        <v/>
      </c>
      <c r="D16" s="10">
        <f>IFERROR(T(VLOOKUP($A16,Players!$A:$E,3,FALSE)),"")</f>
        <v/>
      </c>
      <c r="E16" s="8">
        <f>IFERROR(T(VLOOKUP($A16,Players!$A:$E,4,FALSE)),"")</f>
        <v/>
      </c>
      <c r="F16" s="8">
        <f>IFERROR(T(VLOOKUP($A16,Players!$A:$E,5,FALSE)),"")</f>
        <v/>
      </c>
    </row>
    <row r="17">
      <c r="A17" s="5">
        <f t="array" ref="A17">IFERROR(INDEX(Auction!$A$5:$A$1000,SMALL(IF(Auction!$C$5:$C$1000=$A$1,ROW(Auction!$C$5:$C$1000)-ROW(Auction!$C$5)+1),ROWS($A$9:A17))),"")</f>
        <v/>
      </c>
      <c r="B17" s="6">
        <f t="array" ref="B17">IFERROR(INDEX(Auction!$B$5:$B$1000,SMALL(IF(Auction!$C$5:$C$1000=$A$1,ROW(Auction!$C$5:$C$1000)-ROW(Auction!$C$5)+1),ROWS($A$9:A17))),"")</f>
        <v/>
      </c>
      <c r="C17" s="7">
        <f>IFERROR(T(VLOOKUP($A17,Players!$A:$E,2,FALSE)),"")</f>
        <v/>
      </c>
      <c r="D17" s="7">
        <f>IFERROR(T(VLOOKUP($A17,Players!$A:$E,3,FALSE)),"")</f>
        <v/>
      </c>
      <c r="E17" s="5">
        <f>IFERROR(T(VLOOKUP($A17,Players!$A:$E,4,FALSE)),"")</f>
        <v/>
      </c>
      <c r="F17" s="5">
        <f>IFERROR(T(VLOOKUP($A17,Players!$A:$E,5,FALSE)),"")</f>
        <v/>
      </c>
    </row>
    <row r="18">
      <c r="A18" s="8">
        <f t="array" ref="A18">IFERROR(INDEX(Auction!$A$5:$A$1000,SMALL(IF(Auction!$C$5:$C$1000=$A$1,ROW(Auction!$C$5:$C$1000)-ROW(Auction!$C$5)+1),ROWS($A$9:A18))),"")</f>
        <v/>
      </c>
      <c r="B18" s="9">
        <f t="array" ref="B18">IFERROR(INDEX(Auction!$B$5:$B$1000,SMALL(IF(Auction!$C$5:$C$1000=$A$1,ROW(Auction!$C$5:$C$1000)-ROW(Auction!$C$5)+1),ROWS($A$9:A18))),"")</f>
        <v/>
      </c>
      <c r="C18" s="10">
        <f>IFERROR(T(VLOOKUP($A18,Players!$A:$E,2,FALSE)),"")</f>
        <v/>
      </c>
      <c r="D18" s="10">
        <f>IFERROR(T(VLOOKUP($A18,Players!$A:$E,3,FALSE)),"")</f>
        <v/>
      </c>
      <c r="E18" s="8">
        <f>IFERROR(T(VLOOKUP($A18,Players!$A:$E,4,FALSE)),"")</f>
        <v/>
      </c>
      <c r="F18" s="8">
        <f>IFERROR(T(VLOOKUP($A18,Players!$A:$E,5,FALSE)),"")</f>
        <v/>
      </c>
    </row>
    <row r="19">
      <c r="A19" s="5">
        <f t="array" ref="A19">IFERROR(INDEX(Auction!$A$5:$A$1000,SMALL(IF(Auction!$C$5:$C$1000=$A$1,ROW(Auction!$C$5:$C$1000)-ROW(Auction!$C$5)+1),ROWS($A$9:A19))),"")</f>
        <v/>
      </c>
      <c r="B19" s="6">
        <f t="array" ref="B19">IFERROR(INDEX(Auction!$B$5:$B$1000,SMALL(IF(Auction!$C$5:$C$1000=$A$1,ROW(Auction!$C$5:$C$1000)-ROW(Auction!$C$5)+1),ROWS($A$9:A19))),"")</f>
        <v/>
      </c>
      <c r="C19" s="7">
        <f>IFERROR(T(VLOOKUP($A19,Players!$A:$E,2,FALSE)),"")</f>
        <v/>
      </c>
      <c r="D19" s="7">
        <f>IFERROR(T(VLOOKUP($A19,Players!$A:$E,3,FALSE)),"")</f>
        <v/>
      </c>
      <c r="E19" s="5">
        <f>IFERROR(T(VLOOKUP($A19,Players!$A:$E,4,FALSE)),"")</f>
        <v/>
      </c>
      <c r="F19" s="5">
        <f>IFERROR(T(VLOOKUP($A19,Players!$A:$E,5,FALSE)),"")</f>
        <v/>
      </c>
    </row>
    <row r="20">
      <c r="A20" s="8">
        <f t="array" ref="A20">IFERROR(INDEX(Auction!$A$5:$A$1000,SMALL(IF(Auction!$C$5:$C$1000=$A$1,ROW(Auction!$C$5:$C$1000)-ROW(Auction!$C$5)+1),ROWS($A$9:A20))),"")</f>
        <v/>
      </c>
      <c r="B20" s="9">
        <f t="array" ref="B20">IFERROR(INDEX(Auction!$B$5:$B$1000,SMALL(IF(Auction!$C$5:$C$1000=$A$1,ROW(Auction!$C$5:$C$1000)-ROW(Auction!$C$5)+1),ROWS($A$9:A20))),"")</f>
        <v/>
      </c>
      <c r="C20" s="10">
        <f>IFERROR(T(VLOOKUP($A20,Players!$A:$E,2,FALSE)),"")</f>
        <v/>
      </c>
      <c r="D20" s="10">
        <f>IFERROR(T(VLOOKUP($A20,Players!$A:$E,3,FALSE)),"")</f>
        <v/>
      </c>
      <c r="E20" s="8">
        <f>IFERROR(T(VLOOKUP($A20,Players!$A:$E,4,FALSE)),"")</f>
        <v/>
      </c>
      <c r="F20" s="8">
        <f>IFERROR(T(VLOOKUP($A20,Players!$A:$E,5,FALSE)),"")</f>
        <v/>
      </c>
    </row>
    <row r="21">
      <c r="A21" s="5">
        <f t="array" ref="A21">IFERROR(INDEX(Auction!$A$5:$A$1000,SMALL(IF(Auction!$C$5:$C$1000=$A$1,ROW(Auction!$C$5:$C$1000)-ROW(Auction!$C$5)+1),ROWS($A$9:A21))),"")</f>
        <v/>
      </c>
      <c r="B21" s="6">
        <f t="array" ref="B21">IFERROR(INDEX(Auction!$B$5:$B$1000,SMALL(IF(Auction!$C$5:$C$1000=$A$1,ROW(Auction!$C$5:$C$1000)-ROW(Auction!$C$5)+1),ROWS($A$9:A21))),"")</f>
        <v/>
      </c>
      <c r="C21" s="7">
        <f>IFERROR(T(VLOOKUP($A21,Players!$A:$E,2,FALSE)),"")</f>
        <v/>
      </c>
      <c r="D21" s="7">
        <f>IFERROR(T(VLOOKUP($A21,Players!$A:$E,3,FALSE)),"")</f>
        <v/>
      </c>
      <c r="E21" s="5">
        <f>IFERROR(T(VLOOKUP($A21,Players!$A:$E,4,FALSE)),"")</f>
        <v/>
      </c>
      <c r="F21" s="5">
        <f>IFERROR(T(VLOOKUP($A21,Players!$A:$E,5,FALSE)),"")</f>
        <v/>
      </c>
    </row>
    <row r="22">
      <c r="A22" s="8">
        <f t="array" ref="A22">IFERROR(INDEX(Auction!$A$5:$A$1000,SMALL(IF(Auction!$C$5:$C$1000=$A$1,ROW(Auction!$C$5:$C$1000)-ROW(Auction!$C$5)+1),ROWS($A$9:A22))),"")</f>
        <v/>
      </c>
      <c r="B22" s="9">
        <f t="array" ref="B22">IFERROR(INDEX(Auction!$B$5:$B$1000,SMALL(IF(Auction!$C$5:$C$1000=$A$1,ROW(Auction!$C$5:$C$1000)-ROW(Auction!$C$5)+1),ROWS($A$9:A22))),"")</f>
        <v/>
      </c>
      <c r="C22" s="10">
        <f>IFERROR(T(VLOOKUP($A22,Players!$A:$E,2,FALSE)),"")</f>
        <v/>
      </c>
      <c r="D22" s="10">
        <f>IFERROR(T(VLOOKUP($A22,Players!$A:$E,3,FALSE)),"")</f>
        <v/>
      </c>
      <c r="E22" s="8">
        <f>IFERROR(T(VLOOKUP($A22,Players!$A:$E,4,FALSE)),"")</f>
        <v/>
      </c>
      <c r="F22" s="8">
        <f>IFERROR(T(VLOOKUP($A22,Players!$A:$E,5,FALSE)),"")</f>
        <v/>
      </c>
    </row>
    <row r="23">
      <c r="A23" s="5">
        <f t="array" ref="A23">IFERROR(INDEX(Auction!$A$5:$A$1000,SMALL(IF(Auction!$C$5:$C$1000=$A$1,ROW(Auction!$C$5:$C$1000)-ROW(Auction!$C$5)+1),ROWS($A$9:A23))),"")</f>
        <v/>
      </c>
      <c r="B23" s="6">
        <f t="array" ref="B23">IFERROR(INDEX(Auction!$B$5:$B$1000,SMALL(IF(Auction!$C$5:$C$1000=$A$1,ROW(Auction!$C$5:$C$1000)-ROW(Auction!$C$5)+1),ROWS($A$9:A23))),"")</f>
        <v/>
      </c>
      <c r="C23" s="7">
        <f>IFERROR(T(VLOOKUP($A23,Players!$A:$E,2,FALSE)),"")</f>
        <v/>
      </c>
      <c r="D23" s="7">
        <f>IFERROR(T(VLOOKUP($A23,Players!$A:$E,3,FALSE)),"")</f>
        <v/>
      </c>
      <c r="E23" s="5">
        <f>IFERROR(T(VLOOKUP($A23,Players!$A:$E,4,FALSE)),"")</f>
        <v/>
      </c>
      <c r="F23" s="5">
        <f>IFERROR(T(VLOOKUP($A23,Players!$A:$E,5,FALSE)),"")</f>
        <v/>
      </c>
    </row>
    <row r="24">
      <c r="A24" s="8">
        <f t="array" ref="A24">IFERROR(INDEX(Auction!$A$5:$A$1000,SMALL(IF(Auction!$C$5:$C$1000=$A$1,ROW(Auction!$C$5:$C$1000)-ROW(Auction!$C$5)+1),ROWS($A$9:A24))),"")</f>
        <v/>
      </c>
      <c r="B24" s="9">
        <f t="array" ref="B24">IFERROR(INDEX(Auction!$B$5:$B$1000,SMALL(IF(Auction!$C$5:$C$1000=$A$1,ROW(Auction!$C$5:$C$1000)-ROW(Auction!$C$5)+1),ROWS($A$9:A24))),"")</f>
        <v/>
      </c>
      <c r="C24" s="10">
        <f>IFERROR(T(VLOOKUP($A24,Players!$A:$E,2,FALSE)),"")</f>
        <v/>
      </c>
      <c r="D24" s="10">
        <f>IFERROR(T(VLOOKUP($A24,Players!$A:$E,3,FALSE)),"")</f>
        <v/>
      </c>
      <c r="E24" s="8">
        <f>IFERROR(T(VLOOKUP($A24,Players!$A:$E,4,FALSE)),"")</f>
        <v/>
      </c>
      <c r="F24" s="8">
        <f>IFERROR(T(VLOOKUP($A24,Players!$A:$E,5,FALSE)),"")</f>
        <v/>
      </c>
    </row>
    <row r="25">
      <c r="A25" s="5">
        <f t="array" ref="A25">IFERROR(INDEX(Auction!$A$5:$A$1000,SMALL(IF(Auction!$C$5:$C$1000=$A$1,ROW(Auction!$C$5:$C$1000)-ROW(Auction!$C$5)+1),ROWS($A$9:A25))),"")</f>
        <v/>
      </c>
      <c r="B25" s="6">
        <f t="array" ref="B25">IFERROR(INDEX(Auction!$B$5:$B$1000,SMALL(IF(Auction!$C$5:$C$1000=$A$1,ROW(Auction!$C$5:$C$1000)-ROW(Auction!$C$5)+1),ROWS($A$9:A25))),"")</f>
        <v/>
      </c>
      <c r="C25" s="7">
        <f>IFERROR(T(VLOOKUP($A25,Players!$A:$E,2,FALSE)),"")</f>
        <v/>
      </c>
      <c r="D25" s="7">
        <f>IFERROR(T(VLOOKUP($A25,Players!$A:$E,3,FALSE)),"")</f>
        <v/>
      </c>
      <c r="E25" s="5">
        <f>IFERROR(T(VLOOKUP($A25,Players!$A:$E,4,FALSE)),"")</f>
        <v/>
      </c>
      <c r="F25" s="5">
        <f>IFERROR(T(VLOOKUP($A25,Players!$A:$E,5,FALSE)),"")</f>
        <v/>
      </c>
    </row>
    <row r="26">
      <c r="A26" s="8">
        <f t="array" ref="A26">IFERROR(INDEX(Auction!$A$5:$A$1000,SMALL(IF(Auction!$C$5:$C$1000=$A$1,ROW(Auction!$C$5:$C$1000)-ROW(Auction!$C$5)+1),ROWS($A$9:A26))),"")</f>
        <v/>
      </c>
      <c r="B26" s="9">
        <f t="array" ref="B26">IFERROR(INDEX(Auction!$B$5:$B$1000,SMALL(IF(Auction!$C$5:$C$1000=$A$1,ROW(Auction!$C$5:$C$1000)-ROW(Auction!$C$5)+1),ROWS($A$9:A26))),"")</f>
        <v/>
      </c>
      <c r="C26" s="10">
        <f>IFERROR(T(VLOOKUP($A26,Players!$A:$E,2,FALSE)),"")</f>
        <v/>
      </c>
      <c r="D26" s="10">
        <f>IFERROR(T(VLOOKUP($A26,Players!$A:$E,3,FALSE)),"")</f>
        <v/>
      </c>
      <c r="E26" s="8">
        <f>IFERROR(T(VLOOKUP($A26,Players!$A:$E,4,FALSE)),"")</f>
        <v/>
      </c>
      <c r="F26" s="8">
        <f>IFERROR(T(VLOOKUP($A26,Players!$A:$E,5,FALSE)),"")</f>
        <v/>
      </c>
    </row>
    <row r="27">
      <c r="A27" s="5">
        <f t="array" ref="A27">IFERROR(INDEX(Auction!$A$5:$A$1000,SMALL(IF(Auction!$C$5:$C$1000=$A$1,ROW(Auction!$C$5:$C$1000)-ROW(Auction!$C$5)+1),ROWS($A$9:A27))),"")</f>
        <v/>
      </c>
      <c r="B27" s="6">
        <f t="array" ref="B27">IFERROR(INDEX(Auction!$B$5:$B$1000,SMALL(IF(Auction!$C$5:$C$1000=$A$1,ROW(Auction!$C$5:$C$1000)-ROW(Auction!$C$5)+1),ROWS($A$9:A27))),"")</f>
        <v/>
      </c>
      <c r="C27" s="7">
        <f>IFERROR(T(VLOOKUP($A27,Players!$A:$E,2,FALSE)),"")</f>
        <v/>
      </c>
      <c r="D27" s="7">
        <f>IFERROR(T(VLOOKUP($A27,Players!$A:$E,3,FALSE)),"")</f>
        <v/>
      </c>
      <c r="E27" s="5">
        <f>IFERROR(T(VLOOKUP($A27,Players!$A:$E,4,FALSE)),"")</f>
        <v/>
      </c>
      <c r="F27" s="5">
        <f>IFERROR(T(VLOOKUP($A27,Players!$A:$E,5,FALSE)),"")</f>
        <v/>
      </c>
    </row>
    <row r="28">
      <c r="A28" s="8">
        <f t="array" ref="A28">IFERROR(INDEX(Auction!$A$5:$A$1000,SMALL(IF(Auction!$C$5:$C$1000=$A$1,ROW(Auction!$C$5:$C$1000)-ROW(Auction!$C$5)+1),ROWS($A$9:A28))),"")</f>
        <v/>
      </c>
      <c r="B28" s="9">
        <f t="array" ref="B28">IFERROR(INDEX(Auction!$B$5:$B$1000,SMALL(IF(Auction!$C$5:$C$1000=$A$1,ROW(Auction!$C$5:$C$1000)-ROW(Auction!$C$5)+1),ROWS($A$9:A28))),"")</f>
        <v/>
      </c>
      <c r="C28" s="10">
        <f>IFERROR(T(VLOOKUP($A28,Players!$A:$E,2,FALSE)),"")</f>
        <v/>
      </c>
      <c r="D28" s="10">
        <f>IFERROR(T(VLOOKUP($A28,Players!$A:$E,3,FALSE)),"")</f>
        <v/>
      </c>
      <c r="E28" s="8">
        <f>IFERROR(T(VLOOKUP($A28,Players!$A:$E,4,FALSE)),"")</f>
        <v/>
      </c>
      <c r="F28" s="8">
        <f>IFERROR(T(VLOOKUP($A28,Players!$A:$E,5,FALSE)),"")</f>
        <v/>
      </c>
    </row>
    <row r="29">
      <c r="A29" s="5">
        <f t="array" ref="A29">IFERROR(INDEX(Auction!$A$5:$A$1000,SMALL(IF(Auction!$C$5:$C$1000=$A$1,ROW(Auction!$C$5:$C$1000)-ROW(Auction!$C$5)+1),ROWS($A$9:A29))),"")</f>
        <v/>
      </c>
      <c r="B29" s="6">
        <f t="array" ref="B29">IFERROR(INDEX(Auction!$B$5:$B$1000,SMALL(IF(Auction!$C$5:$C$1000=$A$1,ROW(Auction!$C$5:$C$1000)-ROW(Auction!$C$5)+1),ROWS($A$9:A29))),"")</f>
        <v/>
      </c>
      <c r="C29" s="7">
        <f>IFERROR(T(VLOOKUP($A29,Players!$A:$E,2,FALSE)),"")</f>
        <v/>
      </c>
      <c r="D29" s="7">
        <f>IFERROR(T(VLOOKUP($A29,Players!$A:$E,3,FALSE)),"")</f>
        <v/>
      </c>
      <c r="E29" s="5">
        <f>IFERROR(T(VLOOKUP($A29,Players!$A:$E,4,FALSE)),"")</f>
        <v/>
      </c>
      <c r="F29" s="5">
        <f>IFERROR(T(VLOOKUP($A29,Players!$A:$E,5,FALSE)),"")</f>
        <v/>
      </c>
    </row>
    <row r="30">
      <c r="A30" s="8">
        <f t="array" ref="A30">IFERROR(INDEX(Auction!$A$5:$A$1000,SMALL(IF(Auction!$C$5:$C$1000=$A$1,ROW(Auction!$C$5:$C$1000)-ROW(Auction!$C$5)+1),ROWS($A$9:A30))),"")</f>
        <v/>
      </c>
      <c r="B30" s="9">
        <f t="array" ref="B30">IFERROR(INDEX(Auction!$B$5:$B$1000,SMALL(IF(Auction!$C$5:$C$1000=$A$1,ROW(Auction!$C$5:$C$1000)-ROW(Auction!$C$5)+1),ROWS($A$9:A30))),"")</f>
        <v/>
      </c>
      <c r="C30" s="10">
        <f>IFERROR(T(VLOOKUP($A30,Players!$A:$E,2,FALSE)),"")</f>
        <v/>
      </c>
      <c r="D30" s="10">
        <f>IFERROR(T(VLOOKUP($A30,Players!$A:$E,3,FALSE)),"")</f>
        <v/>
      </c>
      <c r="E30" s="8">
        <f>IFERROR(T(VLOOKUP($A30,Players!$A:$E,4,FALSE)),"")</f>
        <v/>
      </c>
      <c r="F30" s="8">
        <f>IFERROR(T(VLOOKUP($A30,Players!$A:$E,5,FALSE)),"")</f>
        <v/>
      </c>
    </row>
    <row r="31">
      <c r="A31" s="5">
        <f t="array" ref="A31">IFERROR(INDEX(Auction!$A$5:$A$1000,SMALL(IF(Auction!$C$5:$C$1000=$A$1,ROW(Auction!$C$5:$C$1000)-ROW(Auction!$C$5)+1),ROWS($A$9:A31))),"")</f>
        <v/>
      </c>
      <c r="B31" s="6">
        <f t="array" ref="B31">IFERROR(INDEX(Auction!$B$5:$B$1000,SMALL(IF(Auction!$C$5:$C$1000=$A$1,ROW(Auction!$C$5:$C$1000)-ROW(Auction!$C$5)+1),ROWS($A$9:A31))),"")</f>
        <v/>
      </c>
      <c r="C31" s="7">
        <f>IFERROR(T(VLOOKUP($A31,Players!$A:$E,2,FALSE)),"")</f>
        <v/>
      </c>
      <c r="D31" s="7">
        <f>IFERROR(T(VLOOKUP($A31,Players!$A:$E,3,FALSE)),"")</f>
        <v/>
      </c>
      <c r="E31" s="5">
        <f>IFERROR(T(VLOOKUP($A31,Players!$A:$E,4,FALSE)),"")</f>
        <v/>
      </c>
      <c r="F31" s="5">
        <f>IFERROR(T(VLOOKUP($A31,Players!$A:$E,5,FALSE)),"")</f>
        <v/>
      </c>
    </row>
    <row r="32">
      <c r="A32" s="8">
        <f t="array" ref="A32">IFERROR(INDEX(Auction!$A$5:$A$1000,SMALL(IF(Auction!$C$5:$C$1000=$A$1,ROW(Auction!$C$5:$C$1000)-ROW(Auction!$C$5)+1),ROWS($A$9:A32))),"")</f>
        <v/>
      </c>
      <c r="B32" s="9">
        <f t="array" ref="B32">IFERROR(INDEX(Auction!$B$5:$B$1000,SMALL(IF(Auction!$C$5:$C$1000=$A$1,ROW(Auction!$C$5:$C$1000)-ROW(Auction!$C$5)+1),ROWS($A$9:A32))),"")</f>
        <v/>
      </c>
      <c r="C32" s="10">
        <f>IFERROR(T(VLOOKUP($A32,Players!$A:$E,2,FALSE)),"")</f>
        <v/>
      </c>
      <c r="D32" s="10">
        <f>IFERROR(T(VLOOKUP($A32,Players!$A:$E,3,FALSE)),"")</f>
        <v/>
      </c>
      <c r="E32" s="8">
        <f>IFERROR(T(VLOOKUP($A32,Players!$A:$E,4,FALSE)),"")</f>
        <v/>
      </c>
      <c r="F32" s="8">
        <f>IFERROR(T(VLOOKUP($A32,Players!$A:$E,5,FALSE)),"")</f>
        <v/>
      </c>
    </row>
    <row r="33">
      <c r="A33" s="5">
        <f t="array" ref="A33">IFERROR(INDEX(Auction!$A$5:$A$1000,SMALL(IF(Auction!$C$5:$C$1000=$A$1,ROW(Auction!$C$5:$C$1000)-ROW(Auction!$C$5)+1),ROWS($A$9:A33))),"")</f>
        <v/>
      </c>
      <c r="B33" s="6">
        <f t="array" ref="B33">IFERROR(INDEX(Auction!$B$5:$B$1000,SMALL(IF(Auction!$C$5:$C$1000=$A$1,ROW(Auction!$C$5:$C$1000)-ROW(Auction!$C$5)+1),ROWS($A$9:A33))),"")</f>
        <v/>
      </c>
      <c r="C33" s="7">
        <f>IFERROR(T(VLOOKUP($A33,Players!$A:$E,2,FALSE)),"")</f>
        <v/>
      </c>
      <c r="D33" s="7">
        <f>IFERROR(T(VLOOKUP($A33,Players!$A:$E,3,FALSE)),"")</f>
        <v/>
      </c>
      <c r="E33" s="5">
        <f>IFERROR(T(VLOOKUP($A33,Players!$A:$E,4,FALSE)),"")</f>
        <v/>
      </c>
      <c r="F33" s="5">
        <f>IFERROR(T(VLOOKUP($A33,Players!$A:$E,5,FALSE)),"")</f>
        <v/>
      </c>
    </row>
    <row r="34">
      <c r="A34" s="8">
        <f t="array" ref="A34">IFERROR(INDEX(Auction!$A$5:$A$1000,SMALL(IF(Auction!$C$5:$C$1000=$A$1,ROW(Auction!$C$5:$C$1000)-ROW(Auction!$C$5)+1),ROWS($A$9:A34))),"")</f>
        <v/>
      </c>
      <c r="B34" s="9">
        <f t="array" ref="B34">IFERROR(INDEX(Auction!$B$5:$B$1000,SMALL(IF(Auction!$C$5:$C$1000=$A$1,ROW(Auction!$C$5:$C$1000)-ROW(Auction!$C$5)+1),ROWS($A$9:A34))),"")</f>
        <v/>
      </c>
      <c r="C34" s="10">
        <f>IFERROR(T(VLOOKUP($A34,Players!$A:$E,2,FALSE)),"")</f>
        <v/>
      </c>
      <c r="D34" s="10">
        <f>IFERROR(T(VLOOKUP($A34,Players!$A:$E,3,FALSE)),"")</f>
        <v/>
      </c>
      <c r="E34" s="8">
        <f>IFERROR(T(VLOOKUP($A34,Players!$A:$E,4,FALSE)),"")</f>
        <v/>
      </c>
      <c r="F34" s="8">
        <f>IFERROR(T(VLOOKUP($A34,Players!$A:$E,5,FALSE)),"")</f>
        <v/>
      </c>
    </row>
    <row r="35">
      <c r="A35" s="5">
        <f t="array" ref="A35">IFERROR(INDEX(Auction!$A$5:$A$1000,SMALL(IF(Auction!$C$5:$C$1000=$A$1,ROW(Auction!$C$5:$C$1000)-ROW(Auction!$C$5)+1),ROWS($A$9:A35))),"")</f>
        <v/>
      </c>
      <c r="B35" s="6">
        <f t="array" ref="B35">IFERROR(INDEX(Auction!$B$5:$B$1000,SMALL(IF(Auction!$C$5:$C$1000=$A$1,ROW(Auction!$C$5:$C$1000)-ROW(Auction!$C$5)+1),ROWS($A$9:A35))),"")</f>
        <v/>
      </c>
      <c r="C35" s="7">
        <f>IFERROR(T(VLOOKUP($A35,Players!$A:$E,2,FALSE)),"")</f>
        <v/>
      </c>
      <c r="D35" s="7">
        <f>IFERROR(T(VLOOKUP($A35,Players!$A:$E,3,FALSE)),"")</f>
        <v/>
      </c>
      <c r="E35" s="5">
        <f>IFERROR(T(VLOOKUP($A35,Players!$A:$E,4,FALSE)),"")</f>
        <v/>
      </c>
      <c r="F35" s="5">
        <f>IFERROR(T(VLOOKUP($A35,Players!$A:$E,5,FALSE)),"")</f>
        <v/>
      </c>
    </row>
    <row r="36">
      <c r="A36" s="8">
        <f t="array" ref="A36">IFERROR(INDEX(Auction!$A$5:$A$1000,SMALL(IF(Auction!$C$5:$C$1000=$A$1,ROW(Auction!$C$5:$C$1000)-ROW(Auction!$C$5)+1),ROWS($A$9:A36))),"")</f>
        <v/>
      </c>
      <c r="B36" s="9">
        <f t="array" ref="B36">IFERROR(INDEX(Auction!$B$5:$B$1000,SMALL(IF(Auction!$C$5:$C$1000=$A$1,ROW(Auction!$C$5:$C$1000)-ROW(Auction!$C$5)+1),ROWS($A$9:A36))),"")</f>
        <v/>
      </c>
      <c r="C36" s="10">
        <f>IFERROR(T(VLOOKUP($A36,Players!$A:$E,2,FALSE)),"")</f>
        <v/>
      </c>
      <c r="D36" s="10">
        <f>IFERROR(T(VLOOKUP($A36,Players!$A:$E,3,FALSE)),"")</f>
        <v/>
      </c>
      <c r="E36" s="8">
        <f>IFERROR(T(VLOOKUP($A36,Players!$A:$E,4,FALSE)),"")</f>
        <v/>
      </c>
      <c r="F36" s="8">
        <f>IFERROR(T(VLOOKUP($A36,Players!$A:$E,5,FALSE)),"")</f>
        <v/>
      </c>
    </row>
    <row r="37">
      <c r="A37" s="5">
        <f t="array" ref="A37">IFERROR(INDEX(Auction!$A$5:$A$1000,SMALL(IF(Auction!$C$5:$C$1000=$A$1,ROW(Auction!$C$5:$C$1000)-ROW(Auction!$C$5)+1),ROWS($A$9:A37))),"")</f>
        <v/>
      </c>
      <c r="B37" s="6">
        <f t="array" ref="B37">IFERROR(INDEX(Auction!$B$5:$B$1000,SMALL(IF(Auction!$C$5:$C$1000=$A$1,ROW(Auction!$C$5:$C$1000)-ROW(Auction!$C$5)+1),ROWS($A$9:A37))),"")</f>
        <v/>
      </c>
      <c r="C37" s="7">
        <f>IFERROR(T(VLOOKUP($A37,Players!$A:$E,2,FALSE)),"")</f>
        <v/>
      </c>
      <c r="D37" s="7">
        <f>IFERROR(T(VLOOKUP($A37,Players!$A:$E,3,FALSE)),"")</f>
        <v/>
      </c>
      <c r="E37" s="5">
        <f>IFERROR(T(VLOOKUP($A37,Players!$A:$E,4,FALSE)),"")</f>
        <v/>
      </c>
      <c r="F37" s="5">
        <f>IFERROR(T(VLOOKUP($A37,Players!$A:$E,5,FALSE)),"")</f>
        <v/>
      </c>
    </row>
    <row r="38">
      <c r="A38" s="8">
        <f t="array" ref="A38">IFERROR(INDEX(Auction!$A$5:$A$1000,SMALL(IF(Auction!$C$5:$C$1000=$A$1,ROW(Auction!$C$5:$C$1000)-ROW(Auction!$C$5)+1),ROWS($A$9:A38))),"")</f>
        <v/>
      </c>
      <c r="B38" s="9">
        <f t="array" ref="B38">IFERROR(INDEX(Auction!$B$5:$B$1000,SMALL(IF(Auction!$C$5:$C$1000=$A$1,ROW(Auction!$C$5:$C$1000)-ROW(Auction!$C$5)+1),ROWS($A$9:A38))),"")</f>
        <v/>
      </c>
      <c r="C38" s="10">
        <f>IFERROR(T(VLOOKUP($A38,Players!$A:$E,2,FALSE)),"")</f>
        <v/>
      </c>
      <c r="D38" s="10">
        <f>IFERROR(T(VLOOKUP($A38,Players!$A:$E,3,FALSE)),"")</f>
        <v/>
      </c>
      <c r="E38" s="8">
        <f>IFERROR(T(VLOOKUP($A38,Players!$A:$E,4,FALSE)),"")</f>
        <v/>
      </c>
      <c r="F38" s="8">
        <f>IFERROR(T(VLOOKUP($A38,Players!$A:$E,5,FALSE)),"")</f>
        <v/>
      </c>
    </row>
    <row r="39">
      <c r="A39" s="5">
        <f t="array" ref="A39">IFERROR(INDEX(Auction!$A$5:$A$1000,SMALL(IF(Auction!$C$5:$C$1000=$A$1,ROW(Auction!$C$5:$C$1000)-ROW(Auction!$C$5)+1),ROWS($A$9:A39))),"")</f>
        <v/>
      </c>
      <c r="B39" s="6">
        <f t="array" ref="B39">IFERROR(INDEX(Auction!$B$5:$B$1000,SMALL(IF(Auction!$C$5:$C$1000=$A$1,ROW(Auction!$C$5:$C$1000)-ROW(Auction!$C$5)+1),ROWS($A$9:A39))),"")</f>
        <v/>
      </c>
      <c r="C39" s="7">
        <f>IFERROR(T(VLOOKUP($A39,Players!$A:$E,2,FALSE)),"")</f>
        <v/>
      </c>
      <c r="D39" s="7">
        <f>IFERROR(T(VLOOKUP($A39,Players!$A:$E,3,FALSE)),"")</f>
        <v/>
      </c>
      <c r="E39" s="5">
        <f>IFERROR(T(VLOOKUP($A39,Players!$A:$E,4,FALSE)),"")</f>
        <v/>
      </c>
      <c r="F39" s="5">
        <f>IFERROR(T(VLOOKUP($A39,Players!$A:$E,5,FALSE)),"")</f>
        <v/>
      </c>
    </row>
    <row r="40">
      <c r="A40" s="8">
        <f t="array" ref="A40">IFERROR(INDEX(Auction!$A$5:$A$1000,SMALL(IF(Auction!$C$5:$C$1000=$A$1,ROW(Auction!$C$5:$C$1000)-ROW(Auction!$C$5)+1),ROWS($A$9:A40))),"")</f>
        <v/>
      </c>
      <c r="B40" s="9">
        <f t="array" ref="B40">IFERROR(INDEX(Auction!$B$5:$B$1000,SMALL(IF(Auction!$C$5:$C$1000=$A$1,ROW(Auction!$C$5:$C$1000)-ROW(Auction!$C$5)+1),ROWS($A$9:A40))),"")</f>
        <v/>
      </c>
      <c r="C40" s="10">
        <f>IFERROR(T(VLOOKUP($A40,Players!$A:$E,2,FALSE)),"")</f>
        <v/>
      </c>
      <c r="D40" s="10">
        <f>IFERROR(T(VLOOKUP($A40,Players!$A:$E,3,FALSE)),"")</f>
        <v/>
      </c>
      <c r="E40" s="8">
        <f>IFERROR(T(VLOOKUP($A40,Players!$A:$E,4,FALSE)),"")</f>
        <v/>
      </c>
      <c r="F40" s="8">
        <f>IFERROR(T(VLOOKUP($A40,Players!$A:$E,5,FALSE)),"")</f>
        <v/>
      </c>
    </row>
    <row r="41">
      <c r="A41" s="5">
        <f t="array" ref="A41">IFERROR(INDEX(Auction!$A$5:$A$1000,SMALL(IF(Auction!$C$5:$C$1000=$A$1,ROW(Auction!$C$5:$C$1000)-ROW(Auction!$C$5)+1),ROWS($A$9:A41))),"")</f>
        <v/>
      </c>
      <c r="B41" s="6">
        <f t="array" ref="B41">IFERROR(INDEX(Auction!$B$5:$B$1000,SMALL(IF(Auction!$C$5:$C$1000=$A$1,ROW(Auction!$C$5:$C$1000)-ROW(Auction!$C$5)+1),ROWS($A$9:A41))),"")</f>
        <v/>
      </c>
      <c r="C41" s="7">
        <f>IFERROR(T(VLOOKUP($A41,Players!$A:$E,2,FALSE)),"")</f>
        <v/>
      </c>
      <c r="D41" s="7">
        <f>IFERROR(T(VLOOKUP($A41,Players!$A:$E,3,FALSE)),"")</f>
        <v/>
      </c>
      <c r="E41" s="5">
        <f>IFERROR(T(VLOOKUP($A41,Players!$A:$E,4,FALSE)),"")</f>
        <v/>
      </c>
      <c r="F41" s="5">
        <f>IFERROR(T(VLOOKUP($A41,Players!$A:$E,5,FALSE)),"")</f>
        <v/>
      </c>
    </row>
    <row r="42">
      <c r="A42" s="8">
        <f t="array" ref="A42">IFERROR(INDEX(Auction!$A$5:$A$1000,SMALL(IF(Auction!$C$5:$C$1000=$A$1,ROW(Auction!$C$5:$C$1000)-ROW(Auction!$C$5)+1),ROWS($A$9:A42))),"")</f>
        <v/>
      </c>
      <c r="B42" s="9">
        <f t="array" ref="B42">IFERROR(INDEX(Auction!$B$5:$B$1000,SMALL(IF(Auction!$C$5:$C$1000=$A$1,ROW(Auction!$C$5:$C$1000)-ROW(Auction!$C$5)+1),ROWS($A$9:A42))),"")</f>
        <v/>
      </c>
      <c r="C42" s="10">
        <f>IFERROR(T(VLOOKUP($A42,Players!$A:$E,2,FALSE)),"")</f>
        <v/>
      </c>
      <c r="D42" s="10">
        <f>IFERROR(T(VLOOKUP($A42,Players!$A:$E,3,FALSE)),"")</f>
        <v/>
      </c>
      <c r="E42" s="8">
        <f>IFERROR(T(VLOOKUP($A42,Players!$A:$E,4,FALSE)),"")</f>
        <v/>
      </c>
      <c r="F42" s="8">
        <f>IFERROR(T(VLOOKUP($A42,Players!$A:$E,5,FALSE)),"")</f>
        <v/>
      </c>
    </row>
    <row r="43">
      <c r="A43" s="5">
        <f t="array" ref="A43">IFERROR(INDEX(Auction!$A$5:$A$1000,SMALL(IF(Auction!$C$5:$C$1000=$A$1,ROW(Auction!$C$5:$C$1000)-ROW(Auction!$C$5)+1),ROWS($A$9:A43))),"")</f>
        <v/>
      </c>
      <c r="B43" s="6">
        <f t="array" ref="B43">IFERROR(INDEX(Auction!$B$5:$B$1000,SMALL(IF(Auction!$C$5:$C$1000=$A$1,ROW(Auction!$C$5:$C$1000)-ROW(Auction!$C$5)+1),ROWS($A$9:A43))),"")</f>
        <v/>
      </c>
      <c r="C43" s="7">
        <f>IFERROR(T(VLOOKUP($A43,Players!$A:$E,2,FALSE)),"")</f>
        <v/>
      </c>
      <c r="D43" s="7">
        <f>IFERROR(T(VLOOKUP($A43,Players!$A:$E,3,FALSE)),"")</f>
        <v/>
      </c>
      <c r="E43" s="5">
        <f>IFERROR(T(VLOOKUP($A43,Players!$A:$E,4,FALSE)),"")</f>
        <v/>
      </c>
      <c r="F43" s="5">
        <f>IFERROR(T(VLOOKUP($A43,Players!$A:$E,5,FALSE)),"")</f>
        <v/>
      </c>
    </row>
    <row r="44">
      <c r="A44" s="8">
        <f t="array" ref="A44">IFERROR(INDEX(Auction!$A$5:$A$1000,SMALL(IF(Auction!$C$5:$C$1000=$A$1,ROW(Auction!$C$5:$C$1000)-ROW(Auction!$C$5)+1),ROWS($A$9:A44))),"")</f>
        <v/>
      </c>
      <c r="B44" s="9">
        <f t="array" ref="B44">IFERROR(INDEX(Auction!$B$5:$B$1000,SMALL(IF(Auction!$C$5:$C$1000=$A$1,ROW(Auction!$C$5:$C$1000)-ROW(Auction!$C$5)+1),ROWS($A$9:A44))),"")</f>
        <v/>
      </c>
      <c r="C44" s="10">
        <f>IFERROR(T(VLOOKUP($A44,Players!$A:$E,2,FALSE)),"")</f>
        <v/>
      </c>
      <c r="D44" s="10">
        <f>IFERROR(T(VLOOKUP($A44,Players!$A:$E,3,FALSE)),"")</f>
        <v/>
      </c>
      <c r="E44" s="8">
        <f>IFERROR(T(VLOOKUP($A44,Players!$A:$E,4,FALSE)),"")</f>
        <v/>
      </c>
      <c r="F44" s="8">
        <f>IFERROR(T(VLOOKUP($A44,Players!$A:$E,5,FALSE)),"")</f>
        <v/>
      </c>
    </row>
    <row r="45">
      <c r="A45" s="5">
        <f t="array" ref="A45">IFERROR(INDEX(Auction!$A$5:$A$1000,SMALL(IF(Auction!$C$5:$C$1000=$A$1,ROW(Auction!$C$5:$C$1000)-ROW(Auction!$C$5)+1),ROWS($A$9:A45))),"")</f>
        <v/>
      </c>
      <c r="B45" s="6">
        <f t="array" ref="B45">IFERROR(INDEX(Auction!$B$5:$B$1000,SMALL(IF(Auction!$C$5:$C$1000=$A$1,ROW(Auction!$C$5:$C$1000)-ROW(Auction!$C$5)+1),ROWS($A$9:A45))),"")</f>
        <v/>
      </c>
      <c r="C45" s="7">
        <f>IFERROR(T(VLOOKUP($A45,Players!$A:$E,2,FALSE)),"")</f>
        <v/>
      </c>
      <c r="D45" s="7">
        <f>IFERROR(T(VLOOKUP($A45,Players!$A:$E,3,FALSE)),"")</f>
        <v/>
      </c>
      <c r="E45" s="5">
        <f>IFERROR(T(VLOOKUP($A45,Players!$A:$E,4,FALSE)),"")</f>
        <v/>
      </c>
      <c r="F45" s="5">
        <f>IFERROR(T(VLOOKUP($A45,Players!$A:$E,5,FALSE)),"")</f>
        <v/>
      </c>
    </row>
    <row r="46">
      <c r="A46" s="8">
        <f t="array" ref="A46">IFERROR(INDEX(Auction!$A$5:$A$1000,SMALL(IF(Auction!$C$5:$C$1000=$A$1,ROW(Auction!$C$5:$C$1000)-ROW(Auction!$C$5)+1),ROWS($A$9:A46))),"")</f>
        <v/>
      </c>
      <c r="B46" s="9">
        <f t="array" ref="B46">IFERROR(INDEX(Auction!$B$5:$B$1000,SMALL(IF(Auction!$C$5:$C$1000=$A$1,ROW(Auction!$C$5:$C$1000)-ROW(Auction!$C$5)+1),ROWS($A$9:A46))),"")</f>
        <v/>
      </c>
      <c r="C46" s="10">
        <f>IFERROR(T(VLOOKUP($A46,Players!$A:$E,2,FALSE)),"")</f>
        <v/>
      </c>
      <c r="D46" s="10">
        <f>IFERROR(T(VLOOKUP($A46,Players!$A:$E,3,FALSE)),"")</f>
        <v/>
      </c>
      <c r="E46" s="8">
        <f>IFERROR(T(VLOOKUP($A46,Players!$A:$E,4,FALSE)),"")</f>
        <v/>
      </c>
      <c r="F46" s="8">
        <f>IFERROR(T(VLOOKUP($A46,Players!$A:$E,5,FALSE)),"")</f>
        <v/>
      </c>
    </row>
    <row r="47">
      <c r="A47" s="5">
        <f t="array" ref="A47">IFERROR(INDEX(Auction!$A$5:$A$1000,SMALL(IF(Auction!$C$5:$C$1000=$A$1,ROW(Auction!$C$5:$C$1000)-ROW(Auction!$C$5)+1),ROWS($A$9:A47))),"")</f>
        <v/>
      </c>
      <c r="B47" s="6">
        <f t="array" ref="B47">IFERROR(INDEX(Auction!$B$5:$B$1000,SMALL(IF(Auction!$C$5:$C$1000=$A$1,ROW(Auction!$C$5:$C$1000)-ROW(Auction!$C$5)+1),ROWS($A$9:A47))),"")</f>
        <v/>
      </c>
      <c r="C47" s="7">
        <f>IFERROR(T(VLOOKUP($A47,Players!$A:$E,2,FALSE)),"")</f>
        <v/>
      </c>
      <c r="D47" s="7">
        <f>IFERROR(T(VLOOKUP($A47,Players!$A:$E,3,FALSE)),"")</f>
        <v/>
      </c>
      <c r="E47" s="5">
        <f>IFERROR(T(VLOOKUP($A47,Players!$A:$E,4,FALSE)),"")</f>
        <v/>
      </c>
      <c r="F47" s="5">
        <f>IFERROR(T(VLOOKUP($A47,Players!$A:$E,5,FALSE)),"")</f>
        <v/>
      </c>
    </row>
    <row r="48">
      <c r="A48" s="8">
        <f t="array" ref="A48">IFERROR(INDEX(Auction!$A$5:$A$1000,SMALL(IF(Auction!$C$5:$C$1000=$A$1,ROW(Auction!$C$5:$C$1000)-ROW(Auction!$C$5)+1),ROWS($A$9:A48))),"")</f>
        <v/>
      </c>
      <c r="B48" s="9">
        <f t="array" ref="B48">IFERROR(INDEX(Auction!$B$5:$B$1000,SMALL(IF(Auction!$C$5:$C$1000=$A$1,ROW(Auction!$C$5:$C$1000)-ROW(Auction!$C$5)+1),ROWS($A$9:A48))),"")</f>
        <v/>
      </c>
      <c r="C48" s="10">
        <f>IFERROR(T(VLOOKUP($A48,Players!$A:$E,2,FALSE)),"")</f>
        <v/>
      </c>
      <c r="D48" s="10">
        <f>IFERROR(T(VLOOKUP($A48,Players!$A:$E,3,FALSE)),"")</f>
        <v/>
      </c>
      <c r="E48" s="8">
        <f>IFERROR(T(VLOOKUP($A48,Players!$A:$E,4,FALSE)),"")</f>
        <v/>
      </c>
      <c r="F48" s="8">
        <f>IFERROR(T(VLOOKUP($A48,Players!$A:$E,5,FALSE)),"")</f>
        <v/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E5E8C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8" customWidth="1" min="4" max="4"/>
    <col width="14" customWidth="1" min="5" max="5"/>
    <col width="15" customWidth="1" min="6" max="6"/>
  </cols>
  <sheetData>
    <row r="1" ht="28" customHeight="1">
      <c r="A1" s="22">
        <f>Balance!A15</f>
        <v/>
      </c>
    </row>
    <row r="3">
      <c r="A3" s="23" t="inlineStr">
        <is>
          <t>Purse (Cr)</t>
        </is>
      </c>
      <c r="B3" s="24">
        <f>Balance!B15</f>
        <v/>
      </c>
    </row>
    <row r="4">
      <c r="A4" s="23" t="inlineStr">
        <is>
          <t>Spent (Cr)</t>
        </is>
      </c>
      <c r="B4" s="24">
        <f>Balance!C15</f>
        <v/>
      </c>
    </row>
    <row r="5">
      <c r="A5" s="25" t="inlineStr">
        <is>
          <t>Balance (Cr)</t>
        </is>
      </c>
      <c r="B5" s="26">
        <f>Balance!D15</f>
        <v/>
      </c>
    </row>
    <row r="6">
      <c r="A6" s="27" t="inlineStr">
        <is>
          <t>Players</t>
        </is>
      </c>
      <c r="B6" s="28">
        <f>Balance!E15</f>
        <v/>
      </c>
    </row>
    <row r="8">
      <c r="A8" s="3" t="inlineStr">
        <is>
          <t>Player</t>
        </is>
      </c>
      <c r="B8" s="3" t="inlineStr">
        <is>
          <t>Price (Cr)</t>
        </is>
      </c>
      <c r="C8" s="3" t="inlineStr">
        <is>
          <t>Role</t>
        </is>
      </c>
      <c r="D8" s="3" t="inlineStr">
        <is>
          <t>Hand</t>
        </is>
      </c>
      <c r="E8" s="3" t="inlineStr">
        <is>
          <t>Country</t>
        </is>
      </c>
      <c r="F8" s="3" t="inlineStr">
        <is>
          <t>City</t>
        </is>
      </c>
    </row>
    <row r="9">
      <c r="A9" s="5">
        <f t="array" ref="A9">IFERROR(INDEX(Auction!$A$5:$A$1000,SMALL(IF(Auction!$C$5:$C$1000=$A$1,ROW(Auction!$C$5:$C$1000)-ROW(Auction!$C$5)+1),ROWS($A$9:A9))),"")</f>
        <v/>
      </c>
      <c r="B9" s="6">
        <f t="array" ref="B9">IFERROR(INDEX(Auction!$B$5:$B$1000,SMALL(IF(Auction!$C$5:$C$1000=$A$1,ROW(Auction!$C$5:$C$1000)-ROW(Auction!$C$5)+1),ROWS($A$9:A9))),"")</f>
        <v/>
      </c>
      <c r="C9" s="7">
        <f>IFERROR(T(VLOOKUP($A9,Players!$A:$E,2,FALSE)),"")</f>
        <v/>
      </c>
      <c r="D9" s="7">
        <f>IFERROR(T(VLOOKUP($A9,Players!$A:$E,3,FALSE)),"")</f>
        <v/>
      </c>
      <c r="E9" s="5">
        <f>IFERROR(T(VLOOKUP($A9,Players!$A:$E,4,FALSE)),"")</f>
        <v/>
      </c>
      <c r="F9" s="5">
        <f>IFERROR(T(VLOOKUP($A9,Players!$A:$E,5,FALSE)),"")</f>
        <v/>
      </c>
    </row>
    <row r="10">
      <c r="A10" s="8">
        <f t="array" ref="A10">IFERROR(INDEX(Auction!$A$5:$A$1000,SMALL(IF(Auction!$C$5:$C$1000=$A$1,ROW(Auction!$C$5:$C$1000)-ROW(Auction!$C$5)+1),ROWS($A$9:A10))),"")</f>
        <v/>
      </c>
      <c r="B10" s="9">
        <f t="array" ref="B10">IFERROR(INDEX(Auction!$B$5:$B$1000,SMALL(IF(Auction!$C$5:$C$1000=$A$1,ROW(Auction!$C$5:$C$1000)-ROW(Auction!$C$5)+1),ROWS($A$9:A10))),"")</f>
        <v/>
      </c>
      <c r="C10" s="10">
        <f>IFERROR(T(VLOOKUP($A10,Players!$A:$E,2,FALSE)),"")</f>
        <v/>
      </c>
      <c r="D10" s="10">
        <f>IFERROR(T(VLOOKUP($A10,Players!$A:$E,3,FALSE)),"")</f>
        <v/>
      </c>
      <c r="E10" s="8">
        <f>IFERROR(T(VLOOKUP($A10,Players!$A:$E,4,FALSE)),"")</f>
        <v/>
      </c>
      <c r="F10" s="8">
        <f>IFERROR(T(VLOOKUP($A10,Players!$A:$E,5,FALSE)),"")</f>
        <v/>
      </c>
    </row>
    <row r="11">
      <c r="A11" s="5">
        <f t="array" ref="A11">IFERROR(INDEX(Auction!$A$5:$A$1000,SMALL(IF(Auction!$C$5:$C$1000=$A$1,ROW(Auction!$C$5:$C$1000)-ROW(Auction!$C$5)+1),ROWS($A$9:A11))),"")</f>
        <v/>
      </c>
      <c r="B11" s="6">
        <f t="array" ref="B11">IFERROR(INDEX(Auction!$B$5:$B$1000,SMALL(IF(Auction!$C$5:$C$1000=$A$1,ROW(Auction!$C$5:$C$1000)-ROW(Auction!$C$5)+1),ROWS($A$9:A11))),"")</f>
        <v/>
      </c>
      <c r="C11" s="7">
        <f>IFERROR(T(VLOOKUP($A11,Players!$A:$E,2,FALSE)),"")</f>
        <v/>
      </c>
      <c r="D11" s="7">
        <f>IFERROR(T(VLOOKUP($A11,Players!$A:$E,3,FALSE)),"")</f>
        <v/>
      </c>
      <c r="E11" s="5">
        <f>IFERROR(T(VLOOKUP($A11,Players!$A:$E,4,FALSE)),"")</f>
        <v/>
      </c>
      <c r="F11" s="5">
        <f>IFERROR(T(VLOOKUP($A11,Players!$A:$E,5,FALSE)),"")</f>
        <v/>
      </c>
    </row>
    <row r="12">
      <c r="A12" s="8">
        <f t="array" ref="A12">IFERROR(INDEX(Auction!$A$5:$A$1000,SMALL(IF(Auction!$C$5:$C$1000=$A$1,ROW(Auction!$C$5:$C$1000)-ROW(Auction!$C$5)+1),ROWS($A$9:A12))),"")</f>
        <v/>
      </c>
      <c r="B12" s="9">
        <f t="array" ref="B12">IFERROR(INDEX(Auction!$B$5:$B$1000,SMALL(IF(Auction!$C$5:$C$1000=$A$1,ROW(Auction!$C$5:$C$1000)-ROW(Auction!$C$5)+1),ROWS($A$9:A12))),"")</f>
        <v/>
      </c>
      <c r="C12" s="10">
        <f>IFERROR(T(VLOOKUP($A12,Players!$A:$E,2,FALSE)),"")</f>
        <v/>
      </c>
      <c r="D12" s="10">
        <f>IFERROR(T(VLOOKUP($A12,Players!$A:$E,3,FALSE)),"")</f>
        <v/>
      </c>
      <c r="E12" s="8">
        <f>IFERROR(T(VLOOKUP($A12,Players!$A:$E,4,FALSE)),"")</f>
        <v/>
      </c>
      <c r="F12" s="8">
        <f>IFERROR(T(VLOOKUP($A12,Players!$A:$E,5,FALSE)),"")</f>
        <v/>
      </c>
    </row>
    <row r="13">
      <c r="A13" s="5">
        <f t="array" ref="A13">IFERROR(INDEX(Auction!$A$5:$A$1000,SMALL(IF(Auction!$C$5:$C$1000=$A$1,ROW(Auction!$C$5:$C$1000)-ROW(Auction!$C$5)+1),ROWS($A$9:A13))),"")</f>
        <v/>
      </c>
      <c r="B13" s="6">
        <f t="array" ref="B13">IFERROR(INDEX(Auction!$B$5:$B$1000,SMALL(IF(Auction!$C$5:$C$1000=$A$1,ROW(Auction!$C$5:$C$1000)-ROW(Auction!$C$5)+1),ROWS($A$9:A13))),"")</f>
        <v/>
      </c>
      <c r="C13" s="7">
        <f>IFERROR(T(VLOOKUP($A13,Players!$A:$E,2,FALSE)),"")</f>
        <v/>
      </c>
      <c r="D13" s="7">
        <f>IFERROR(T(VLOOKUP($A13,Players!$A:$E,3,FALSE)),"")</f>
        <v/>
      </c>
      <c r="E13" s="5">
        <f>IFERROR(T(VLOOKUP($A13,Players!$A:$E,4,FALSE)),"")</f>
        <v/>
      </c>
      <c r="F13" s="5">
        <f>IFERROR(T(VLOOKUP($A13,Players!$A:$E,5,FALSE)),"")</f>
        <v/>
      </c>
    </row>
    <row r="14">
      <c r="A14" s="8">
        <f t="array" ref="A14">IFERROR(INDEX(Auction!$A$5:$A$1000,SMALL(IF(Auction!$C$5:$C$1000=$A$1,ROW(Auction!$C$5:$C$1000)-ROW(Auction!$C$5)+1),ROWS($A$9:A14))),"")</f>
        <v/>
      </c>
      <c r="B14" s="9">
        <f t="array" ref="B14">IFERROR(INDEX(Auction!$B$5:$B$1000,SMALL(IF(Auction!$C$5:$C$1000=$A$1,ROW(Auction!$C$5:$C$1000)-ROW(Auction!$C$5)+1),ROWS($A$9:A14))),"")</f>
        <v/>
      </c>
      <c r="C14" s="10">
        <f>IFERROR(T(VLOOKUP($A14,Players!$A:$E,2,FALSE)),"")</f>
        <v/>
      </c>
      <c r="D14" s="10">
        <f>IFERROR(T(VLOOKUP($A14,Players!$A:$E,3,FALSE)),"")</f>
        <v/>
      </c>
      <c r="E14" s="8">
        <f>IFERROR(T(VLOOKUP($A14,Players!$A:$E,4,FALSE)),"")</f>
        <v/>
      </c>
      <c r="F14" s="8">
        <f>IFERROR(T(VLOOKUP($A14,Players!$A:$E,5,FALSE)),"")</f>
        <v/>
      </c>
    </row>
    <row r="15">
      <c r="A15" s="5">
        <f t="array" ref="A15">IFERROR(INDEX(Auction!$A$5:$A$1000,SMALL(IF(Auction!$C$5:$C$1000=$A$1,ROW(Auction!$C$5:$C$1000)-ROW(Auction!$C$5)+1),ROWS($A$9:A15))),"")</f>
        <v/>
      </c>
      <c r="B15" s="6">
        <f t="array" ref="B15">IFERROR(INDEX(Auction!$B$5:$B$1000,SMALL(IF(Auction!$C$5:$C$1000=$A$1,ROW(Auction!$C$5:$C$1000)-ROW(Auction!$C$5)+1),ROWS($A$9:A15))),"")</f>
        <v/>
      </c>
      <c r="C15" s="7">
        <f>IFERROR(T(VLOOKUP($A15,Players!$A:$E,2,FALSE)),"")</f>
        <v/>
      </c>
      <c r="D15" s="7">
        <f>IFERROR(T(VLOOKUP($A15,Players!$A:$E,3,FALSE)),"")</f>
        <v/>
      </c>
      <c r="E15" s="5">
        <f>IFERROR(T(VLOOKUP($A15,Players!$A:$E,4,FALSE)),"")</f>
        <v/>
      </c>
      <c r="F15" s="5">
        <f>IFERROR(T(VLOOKUP($A15,Players!$A:$E,5,FALSE)),"")</f>
        <v/>
      </c>
    </row>
    <row r="16">
      <c r="A16" s="8">
        <f t="array" ref="A16">IFERROR(INDEX(Auction!$A$5:$A$1000,SMALL(IF(Auction!$C$5:$C$1000=$A$1,ROW(Auction!$C$5:$C$1000)-ROW(Auction!$C$5)+1),ROWS($A$9:A16))),"")</f>
        <v/>
      </c>
      <c r="B16" s="9">
        <f t="array" ref="B16">IFERROR(INDEX(Auction!$B$5:$B$1000,SMALL(IF(Auction!$C$5:$C$1000=$A$1,ROW(Auction!$C$5:$C$1000)-ROW(Auction!$C$5)+1),ROWS($A$9:A16))),"")</f>
        <v/>
      </c>
      <c r="C16" s="10">
        <f>IFERROR(T(VLOOKUP($A16,Players!$A:$E,2,FALSE)),"")</f>
        <v/>
      </c>
      <c r="D16" s="10">
        <f>IFERROR(T(VLOOKUP($A16,Players!$A:$E,3,FALSE)),"")</f>
        <v/>
      </c>
      <c r="E16" s="8">
        <f>IFERROR(T(VLOOKUP($A16,Players!$A:$E,4,FALSE)),"")</f>
        <v/>
      </c>
      <c r="F16" s="8">
        <f>IFERROR(T(VLOOKUP($A16,Players!$A:$E,5,FALSE)),"")</f>
        <v/>
      </c>
    </row>
    <row r="17">
      <c r="A17" s="5">
        <f t="array" ref="A17">IFERROR(INDEX(Auction!$A$5:$A$1000,SMALL(IF(Auction!$C$5:$C$1000=$A$1,ROW(Auction!$C$5:$C$1000)-ROW(Auction!$C$5)+1),ROWS($A$9:A17))),"")</f>
        <v/>
      </c>
      <c r="B17" s="6">
        <f t="array" ref="B17">IFERROR(INDEX(Auction!$B$5:$B$1000,SMALL(IF(Auction!$C$5:$C$1000=$A$1,ROW(Auction!$C$5:$C$1000)-ROW(Auction!$C$5)+1),ROWS($A$9:A17))),"")</f>
        <v/>
      </c>
      <c r="C17" s="7">
        <f>IFERROR(T(VLOOKUP($A17,Players!$A:$E,2,FALSE)),"")</f>
        <v/>
      </c>
      <c r="D17" s="7">
        <f>IFERROR(T(VLOOKUP($A17,Players!$A:$E,3,FALSE)),"")</f>
        <v/>
      </c>
      <c r="E17" s="5">
        <f>IFERROR(T(VLOOKUP($A17,Players!$A:$E,4,FALSE)),"")</f>
        <v/>
      </c>
      <c r="F17" s="5">
        <f>IFERROR(T(VLOOKUP($A17,Players!$A:$E,5,FALSE)),"")</f>
        <v/>
      </c>
    </row>
    <row r="18">
      <c r="A18" s="8">
        <f t="array" ref="A18">IFERROR(INDEX(Auction!$A$5:$A$1000,SMALL(IF(Auction!$C$5:$C$1000=$A$1,ROW(Auction!$C$5:$C$1000)-ROW(Auction!$C$5)+1),ROWS($A$9:A18))),"")</f>
        <v/>
      </c>
      <c r="B18" s="9">
        <f t="array" ref="B18">IFERROR(INDEX(Auction!$B$5:$B$1000,SMALL(IF(Auction!$C$5:$C$1000=$A$1,ROW(Auction!$C$5:$C$1000)-ROW(Auction!$C$5)+1),ROWS($A$9:A18))),"")</f>
        <v/>
      </c>
      <c r="C18" s="10">
        <f>IFERROR(T(VLOOKUP($A18,Players!$A:$E,2,FALSE)),"")</f>
        <v/>
      </c>
      <c r="D18" s="10">
        <f>IFERROR(T(VLOOKUP($A18,Players!$A:$E,3,FALSE)),"")</f>
        <v/>
      </c>
      <c r="E18" s="8">
        <f>IFERROR(T(VLOOKUP($A18,Players!$A:$E,4,FALSE)),"")</f>
        <v/>
      </c>
      <c r="F18" s="8">
        <f>IFERROR(T(VLOOKUP($A18,Players!$A:$E,5,FALSE)),"")</f>
        <v/>
      </c>
    </row>
    <row r="19">
      <c r="A19" s="5">
        <f t="array" ref="A19">IFERROR(INDEX(Auction!$A$5:$A$1000,SMALL(IF(Auction!$C$5:$C$1000=$A$1,ROW(Auction!$C$5:$C$1000)-ROW(Auction!$C$5)+1),ROWS($A$9:A19))),"")</f>
        <v/>
      </c>
      <c r="B19" s="6">
        <f t="array" ref="B19">IFERROR(INDEX(Auction!$B$5:$B$1000,SMALL(IF(Auction!$C$5:$C$1000=$A$1,ROW(Auction!$C$5:$C$1000)-ROW(Auction!$C$5)+1),ROWS($A$9:A19))),"")</f>
        <v/>
      </c>
      <c r="C19" s="7">
        <f>IFERROR(T(VLOOKUP($A19,Players!$A:$E,2,FALSE)),"")</f>
        <v/>
      </c>
      <c r="D19" s="7">
        <f>IFERROR(T(VLOOKUP($A19,Players!$A:$E,3,FALSE)),"")</f>
        <v/>
      </c>
      <c r="E19" s="5">
        <f>IFERROR(T(VLOOKUP($A19,Players!$A:$E,4,FALSE)),"")</f>
        <v/>
      </c>
      <c r="F19" s="5">
        <f>IFERROR(T(VLOOKUP($A19,Players!$A:$E,5,FALSE)),"")</f>
        <v/>
      </c>
    </row>
    <row r="20">
      <c r="A20" s="8">
        <f t="array" ref="A20">IFERROR(INDEX(Auction!$A$5:$A$1000,SMALL(IF(Auction!$C$5:$C$1000=$A$1,ROW(Auction!$C$5:$C$1000)-ROW(Auction!$C$5)+1),ROWS($A$9:A20))),"")</f>
        <v/>
      </c>
      <c r="B20" s="9">
        <f t="array" ref="B20">IFERROR(INDEX(Auction!$B$5:$B$1000,SMALL(IF(Auction!$C$5:$C$1000=$A$1,ROW(Auction!$C$5:$C$1000)-ROW(Auction!$C$5)+1),ROWS($A$9:A20))),"")</f>
        <v/>
      </c>
      <c r="C20" s="10">
        <f>IFERROR(T(VLOOKUP($A20,Players!$A:$E,2,FALSE)),"")</f>
        <v/>
      </c>
      <c r="D20" s="10">
        <f>IFERROR(T(VLOOKUP($A20,Players!$A:$E,3,FALSE)),"")</f>
        <v/>
      </c>
      <c r="E20" s="8">
        <f>IFERROR(T(VLOOKUP($A20,Players!$A:$E,4,FALSE)),"")</f>
        <v/>
      </c>
      <c r="F20" s="8">
        <f>IFERROR(T(VLOOKUP($A20,Players!$A:$E,5,FALSE)),"")</f>
        <v/>
      </c>
    </row>
    <row r="21">
      <c r="A21" s="5">
        <f t="array" ref="A21">IFERROR(INDEX(Auction!$A$5:$A$1000,SMALL(IF(Auction!$C$5:$C$1000=$A$1,ROW(Auction!$C$5:$C$1000)-ROW(Auction!$C$5)+1),ROWS($A$9:A21))),"")</f>
        <v/>
      </c>
      <c r="B21" s="6">
        <f t="array" ref="B21">IFERROR(INDEX(Auction!$B$5:$B$1000,SMALL(IF(Auction!$C$5:$C$1000=$A$1,ROW(Auction!$C$5:$C$1000)-ROW(Auction!$C$5)+1),ROWS($A$9:A21))),"")</f>
        <v/>
      </c>
      <c r="C21" s="7">
        <f>IFERROR(T(VLOOKUP($A21,Players!$A:$E,2,FALSE)),"")</f>
        <v/>
      </c>
      <c r="D21" s="7">
        <f>IFERROR(T(VLOOKUP($A21,Players!$A:$E,3,FALSE)),"")</f>
        <v/>
      </c>
      <c r="E21" s="5">
        <f>IFERROR(T(VLOOKUP($A21,Players!$A:$E,4,FALSE)),"")</f>
        <v/>
      </c>
      <c r="F21" s="5">
        <f>IFERROR(T(VLOOKUP($A21,Players!$A:$E,5,FALSE)),"")</f>
        <v/>
      </c>
    </row>
    <row r="22">
      <c r="A22" s="8">
        <f t="array" ref="A22">IFERROR(INDEX(Auction!$A$5:$A$1000,SMALL(IF(Auction!$C$5:$C$1000=$A$1,ROW(Auction!$C$5:$C$1000)-ROW(Auction!$C$5)+1),ROWS($A$9:A22))),"")</f>
        <v/>
      </c>
      <c r="B22" s="9">
        <f t="array" ref="B22">IFERROR(INDEX(Auction!$B$5:$B$1000,SMALL(IF(Auction!$C$5:$C$1000=$A$1,ROW(Auction!$C$5:$C$1000)-ROW(Auction!$C$5)+1),ROWS($A$9:A22))),"")</f>
        <v/>
      </c>
      <c r="C22" s="10">
        <f>IFERROR(T(VLOOKUP($A22,Players!$A:$E,2,FALSE)),"")</f>
        <v/>
      </c>
      <c r="D22" s="10">
        <f>IFERROR(T(VLOOKUP($A22,Players!$A:$E,3,FALSE)),"")</f>
        <v/>
      </c>
      <c r="E22" s="8">
        <f>IFERROR(T(VLOOKUP($A22,Players!$A:$E,4,FALSE)),"")</f>
        <v/>
      </c>
      <c r="F22" s="8">
        <f>IFERROR(T(VLOOKUP($A22,Players!$A:$E,5,FALSE)),"")</f>
        <v/>
      </c>
    </row>
    <row r="23">
      <c r="A23" s="5">
        <f t="array" ref="A23">IFERROR(INDEX(Auction!$A$5:$A$1000,SMALL(IF(Auction!$C$5:$C$1000=$A$1,ROW(Auction!$C$5:$C$1000)-ROW(Auction!$C$5)+1),ROWS($A$9:A23))),"")</f>
        <v/>
      </c>
      <c r="B23" s="6">
        <f t="array" ref="B23">IFERROR(INDEX(Auction!$B$5:$B$1000,SMALL(IF(Auction!$C$5:$C$1000=$A$1,ROW(Auction!$C$5:$C$1000)-ROW(Auction!$C$5)+1),ROWS($A$9:A23))),"")</f>
        <v/>
      </c>
      <c r="C23" s="7">
        <f>IFERROR(T(VLOOKUP($A23,Players!$A:$E,2,FALSE)),"")</f>
        <v/>
      </c>
      <c r="D23" s="7">
        <f>IFERROR(T(VLOOKUP($A23,Players!$A:$E,3,FALSE)),"")</f>
        <v/>
      </c>
      <c r="E23" s="5">
        <f>IFERROR(T(VLOOKUP($A23,Players!$A:$E,4,FALSE)),"")</f>
        <v/>
      </c>
      <c r="F23" s="5">
        <f>IFERROR(T(VLOOKUP($A23,Players!$A:$E,5,FALSE)),"")</f>
        <v/>
      </c>
    </row>
    <row r="24">
      <c r="A24" s="8">
        <f t="array" ref="A24">IFERROR(INDEX(Auction!$A$5:$A$1000,SMALL(IF(Auction!$C$5:$C$1000=$A$1,ROW(Auction!$C$5:$C$1000)-ROW(Auction!$C$5)+1),ROWS($A$9:A24))),"")</f>
        <v/>
      </c>
      <c r="B24" s="9">
        <f t="array" ref="B24">IFERROR(INDEX(Auction!$B$5:$B$1000,SMALL(IF(Auction!$C$5:$C$1000=$A$1,ROW(Auction!$C$5:$C$1000)-ROW(Auction!$C$5)+1),ROWS($A$9:A24))),"")</f>
        <v/>
      </c>
      <c r="C24" s="10">
        <f>IFERROR(T(VLOOKUP($A24,Players!$A:$E,2,FALSE)),"")</f>
        <v/>
      </c>
      <c r="D24" s="10">
        <f>IFERROR(T(VLOOKUP($A24,Players!$A:$E,3,FALSE)),"")</f>
        <v/>
      </c>
      <c r="E24" s="8">
        <f>IFERROR(T(VLOOKUP($A24,Players!$A:$E,4,FALSE)),"")</f>
        <v/>
      </c>
      <c r="F24" s="8">
        <f>IFERROR(T(VLOOKUP($A24,Players!$A:$E,5,FALSE)),"")</f>
        <v/>
      </c>
    </row>
    <row r="25">
      <c r="A25" s="5">
        <f t="array" ref="A25">IFERROR(INDEX(Auction!$A$5:$A$1000,SMALL(IF(Auction!$C$5:$C$1000=$A$1,ROW(Auction!$C$5:$C$1000)-ROW(Auction!$C$5)+1),ROWS($A$9:A25))),"")</f>
        <v/>
      </c>
      <c r="B25" s="6">
        <f t="array" ref="B25">IFERROR(INDEX(Auction!$B$5:$B$1000,SMALL(IF(Auction!$C$5:$C$1000=$A$1,ROW(Auction!$C$5:$C$1000)-ROW(Auction!$C$5)+1),ROWS($A$9:A25))),"")</f>
        <v/>
      </c>
      <c r="C25" s="7">
        <f>IFERROR(T(VLOOKUP($A25,Players!$A:$E,2,FALSE)),"")</f>
        <v/>
      </c>
      <c r="D25" s="7">
        <f>IFERROR(T(VLOOKUP($A25,Players!$A:$E,3,FALSE)),"")</f>
        <v/>
      </c>
      <c r="E25" s="5">
        <f>IFERROR(T(VLOOKUP($A25,Players!$A:$E,4,FALSE)),"")</f>
        <v/>
      </c>
      <c r="F25" s="5">
        <f>IFERROR(T(VLOOKUP($A25,Players!$A:$E,5,FALSE)),"")</f>
        <v/>
      </c>
    </row>
    <row r="26">
      <c r="A26" s="8">
        <f t="array" ref="A26">IFERROR(INDEX(Auction!$A$5:$A$1000,SMALL(IF(Auction!$C$5:$C$1000=$A$1,ROW(Auction!$C$5:$C$1000)-ROW(Auction!$C$5)+1),ROWS($A$9:A26))),"")</f>
        <v/>
      </c>
      <c r="B26" s="9">
        <f t="array" ref="B26">IFERROR(INDEX(Auction!$B$5:$B$1000,SMALL(IF(Auction!$C$5:$C$1000=$A$1,ROW(Auction!$C$5:$C$1000)-ROW(Auction!$C$5)+1),ROWS($A$9:A26))),"")</f>
        <v/>
      </c>
      <c r="C26" s="10">
        <f>IFERROR(T(VLOOKUP($A26,Players!$A:$E,2,FALSE)),"")</f>
        <v/>
      </c>
      <c r="D26" s="10">
        <f>IFERROR(T(VLOOKUP($A26,Players!$A:$E,3,FALSE)),"")</f>
        <v/>
      </c>
      <c r="E26" s="8">
        <f>IFERROR(T(VLOOKUP($A26,Players!$A:$E,4,FALSE)),"")</f>
        <v/>
      </c>
      <c r="F26" s="8">
        <f>IFERROR(T(VLOOKUP($A26,Players!$A:$E,5,FALSE)),"")</f>
        <v/>
      </c>
    </row>
    <row r="27">
      <c r="A27" s="5">
        <f t="array" ref="A27">IFERROR(INDEX(Auction!$A$5:$A$1000,SMALL(IF(Auction!$C$5:$C$1000=$A$1,ROW(Auction!$C$5:$C$1000)-ROW(Auction!$C$5)+1),ROWS($A$9:A27))),"")</f>
        <v/>
      </c>
      <c r="B27" s="6">
        <f t="array" ref="B27">IFERROR(INDEX(Auction!$B$5:$B$1000,SMALL(IF(Auction!$C$5:$C$1000=$A$1,ROW(Auction!$C$5:$C$1000)-ROW(Auction!$C$5)+1),ROWS($A$9:A27))),"")</f>
        <v/>
      </c>
      <c r="C27" s="7">
        <f>IFERROR(T(VLOOKUP($A27,Players!$A:$E,2,FALSE)),"")</f>
        <v/>
      </c>
      <c r="D27" s="7">
        <f>IFERROR(T(VLOOKUP($A27,Players!$A:$E,3,FALSE)),"")</f>
        <v/>
      </c>
      <c r="E27" s="5">
        <f>IFERROR(T(VLOOKUP($A27,Players!$A:$E,4,FALSE)),"")</f>
        <v/>
      </c>
      <c r="F27" s="5">
        <f>IFERROR(T(VLOOKUP($A27,Players!$A:$E,5,FALSE)),"")</f>
        <v/>
      </c>
    </row>
    <row r="28">
      <c r="A28" s="8">
        <f t="array" ref="A28">IFERROR(INDEX(Auction!$A$5:$A$1000,SMALL(IF(Auction!$C$5:$C$1000=$A$1,ROW(Auction!$C$5:$C$1000)-ROW(Auction!$C$5)+1),ROWS($A$9:A28))),"")</f>
        <v/>
      </c>
      <c r="B28" s="9">
        <f t="array" ref="B28">IFERROR(INDEX(Auction!$B$5:$B$1000,SMALL(IF(Auction!$C$5:$C$1000=$A$1,ROW(Auction!$C$5:$C$1000)-ROW(Auction!$C$5)+1),ROWS($A$9:A28))),"")</f>
        <v/>
      </c>
      <c r="C28" s="10">
        <f>IFERROR(T(VLOOKUP($A28,Players!$A:$E,2,FALSE)),"")</f>
        <v/>
      </c>
      <c r="D28" s="10">
        <f>IFERROR(T(VLOOKUP($A28,Players!$A:$E,3,FALSE)),"")</f>
        <v/>
      </c>
      <c r="E28" s="8">
        <f>IFERROR(T(VLOOKUP($A28,Players!$A:$E,4,FALSE)),"")</f>
        <v/>
      </c>
      <c r="F28" s="8">
        <f>IFERROR(T(VLOOKUP($A28,Players!$A:$E,5,FALSE)),"")</f>
        <v/>
      </c>
    </row>
    <row r="29">
      <c r="A29" s="5">
        <f t="array" ref="A29">IFERROR(INDEX(Auction!$A$5:$A$1000,SMALL(IF(Auction!$C$5:$C$1000=$A$1,ROW(Auction!$C$5:$C$1000)-ROW(Auction!$C$5)+1),ROWS($A$9:A29))),"")</f>
        <v/>
      </c>
      <c r="B29" s="6">
        <f t="array" ref="B29">IFERROR(INDEX(Auction!$B$5:$B$1000,SMALL(IF(Auction!$C$5:$C$1000=$A$1,ROW(Auction!$C$5:$C$1000)-ROW(Auction!$C$5)+1),ROWS($A$9:A29))),"")</f>
        <v/>
      </c>
      <c r="C29" s="7">
        <f>IFERROR(T(VLOOKUP($A29,Players!$A:$E,2,FALSE)),"")</f>
        <v/>
      </c>
      <c r="D29" s="7">
        <f>IFERROR(T(VLOOKUP($A29,Players!$A:$E,3,FALSE)),"")</f>
        <v/>
      </c>
      <c r="E29" s="5">
        <f>IFERROR(T(VLOOKUP($A29,Players!$A:$E,4,FALSE)),"")</f>
        <v/>
      </c>
      <c r="F29" s="5">
        <f>IFERROR(T(VLOOKUP($A29,Players!$A:$E,5,FALSE)),"")</f>
        <v/>
      </c>
    </row>
    <row r="30">
      <c r="A30" s="8">
        <f t="array" ref="A30">IFERROR(INDEX(Auction!$A$5:$A$1000,SMALL(IF(Auction!$C$5:$C$1000=$A$1,ROW(Auction!$C$5:$C$1000)-ROW(Auction!$C$5)+1),ROWS($A$9:A30))),"")</f>
        <v/>
      </c>
      <c r="B30" s="9">
        <f t="array" ref="B30">IFERROR(INDEX(Auction!$B$5:$B$1000,SMALL(IF(Auction!$C$5:$C$1000=$A$1,ROW(Auction!$C$5:$C$1000)-ROW(Auction!$C$5)+1),ROWS($A$9:A30))),"")</f>
        <v/>
      </c>
      <c r="C30" s="10">
        <f>IFERROR(T(VLOOKUP($A30,Players!$A:$E,2,FALSE)),"")</f>
        <v/>
      </c>
      <c r="D30" s="10">
        <f>IFERROR(T(VLOOKUP($A30,Players!$A:$E,3,FALSE)),"")</f>
        <v/>
      </c>
      <c r="E30" s="8">
        <f>IFERROR(T(VLOOKUP($A30,Players!$A:$E,4,FALSE)),"")</f>
        <v/>
      </c>
      <c r="F30" s="8">
        <f>IFERROR(T(VLOOKUP($A30,Players!$A:$E,5,FALSE)),"")</f>
        <v/>
      </c>
    </row>
    <row r="31">
      <c r="A31" s="5">
        <f t="array" ref="A31">IFERROR(INDEX(Auction!$A$5:$A$1000,SMALL(IF(Auction!$C$5:$C$1000=$A$1,ROW(Auction!$C$5:$C$1000)-ROW(Auction!$C$5)+1),ROWS($A$9:A31))),"")</f>
        <v/>
      </c>
      <c r="B31" s="6">
        <f t="array" ref="B31">IFERROR(INDEX(Auction!$B$5:$B$1000,SMALL(IF(Auction!$C$5:$C$1000=$A$1,ROW(Auction!$C$5:$C$1000)-ROW(Auction!$C$5)+1),ROWS($A$9:A31))),"")</f>
        <v/>
      </c>
      <c r="C31" s="7">
        <f>IFERROR(T(VLOOKUP($A31,Players!$A:$E,2,FALSE)),"")</f>
        <v/>
      </c>
      <c r="D31" s="7">
        <f>IFERROR(T(VLOOKUP($A31,Players!$A:$E,3,FALSE)),"")</f>
        <v/>
      </c>
      <c r="E31" s="5">
        <f>IFERROR(T(VLOOKUP($A31,Players!$A:$E,4,FALSE)),"")</f>
        <v/>
      </c>
      <c r="F31" s="5">
        <f>IFERROR(T(VLOOKUP($A31,Players!$A:$E,5,FALSE)),"")</f>
        <v/>
      </c>
    </row>
    <row r="32">
      <c r="A32" s="8">
        <f t="array" ref="A32">IFERROR(INDEX(Auction!$A$5:$A$1000,SMALL(IF(Auction!$C$5:$C$1000=$A$1,ROW(Auction!$C$5:$C$1000)-ROW(Auction!$C$5)+1),ROWS($A$9:A32))),"")</f>
        <v/>
      </c>
      <c r="B32" s="9">
        <f t="array" ref="B32">IFERROR(INDEX(Auction!$B$5:$B$1000,SMALL(IF(Auction!$C$5:$C$1000=$A$1,ROW(Auction!$C$5:$C$1000)-ROW(Auction!$C$5)+1),ROWS($A$9:A32))),"")</f>
        <v/>
      </c>
      <c r="C32" s="10">
        <f>IFERROR(T(VLOOKUP($A32,Players!$A:$E,2,FALSE)),"")</f>
        <v/>
      </c>
      <c r="D32" s="10">
        <f>IFERROR(T(VLOOKUP($A32,Players!$A:$E,3,FALSE)),"")</f>
        <v/>
      </c>
      <c r="E32" s="8">
        <f>IFERROR(T(VLOOKUP($A32,Players!$A:$E,4,FALSE)),"")</f>
        <v/>
      </c>
      <c r="F32" s="8">
        <f>IFERROR(T(VLOOKUP($A32,Players!$A:$E,5,FALSE)),"")</f>
        <v/>
      </c>
    </row>
    <row r="33">
      <c r="A33" s="5">
        <f t="array" ref="A33">IFERROR(INDEX(Auction!$A$5:$A$1000,SMALL(IF(Auction!$C$5:$C$1000=$A$1,ROW(Auction!$C$5:$C$1000)-ROW(Auction!$C$5)+1),ROWS($A$9:A33))),"")</f>
        <v/>
      </c>
      <c r="B33" s="6">
        <f t="array" ref="B33">IFERROR(INDEX(Auction!$B$5:$B$1000,SMALL(IF(Auction!$C$5:$C$1000=$A$1,ROW(Auction!$C$5:$C$1000)-ROW(Auction!$C$5)+1),ROWS($A$9:A33))),"")</f>
        <v/>
      </c>
      <c r="C33" s="7">
        <f>IFERROR(T(VLOOKUP($A33,Players!$A:$E,2,FALSE)),"")</f>
        <v/>
      </c>
      <c r="D33" s="7">
        <f>IFERROR(T(VLOOKUP($A33,Players!$A:$E,3,FALSE)),"")</f>
        <v/>
      </c>
      <c r="E33" s="5">
        <f>IFERROR(T(VLOOKUP($A33,Players!$A:$E,4,FALSE)),"")</f>
        <v/>
      </c>
      <c r="F33" s="5">
        <f>IFERROR(T(VLOOKUP($A33,Players!$A:$E,5,FALSE)),"")</f>
        <v/>
      </c>
    </row>
    <row r="34">
      <c r="A34" s="8">
        <f t="array" ref="A34">IFERROR(INDEX(Auction!$A$5:$A$1000,SMALL(IF(Auction!$C$5:$C$1000=$A$1,ROW(Auction!$C$5:$C$1000)-ROW(Auction!$C$5)+1),ROWS($A$9:A34))),"")</f>
        <v/>
      </c>
      <c r="B34" s="9">
        <f t="array" ref="B34">IFERROR(INDEX(Auction!$B$5:$B$1000,SMALL(IF(Auction!$C$5:$C$1000=$A$1,ROW(Auction!$C$5:$C$1000)-ROW(Auction!$C$5)+1),ROWS($A$9:A34))),"")</f>
        <v/>
      </c>
      <c r="C34" s="10">
        <f>IFERROR(T(VLOOKUP($A34,Players!$A:$E,2,FALSE)),"")</f>
        <v/>
      </c>
      <c r="D34" s="10">
        <f>IFERROR(T(VLOOKUP($A34,Players!$A:$E,3,FALSE)),"")</f>
        <v/>
      </c>
      <c r="E34" s="8">
        <f>IFERROR(T(VLOOKUP($A34,Players!$A:$E,4,FALSE)),"")</f>
        <v/>
      </c>
      <c r="F34" s="8">
        <f>IFERROR(T(VLOOKUP($A34,Players!$A:$E,5,FALSE)),"")</f>
        <v/>
      </c>
    </row>
    <row r="35">
      <c r="A35" s="5">
        <f t="array" ref="A35">IFERROR(INDEX(Auction!$A$5:$A$1000,SMALL(IF(Auction!$C$5:$C$1000=$A$1,ROW(Auction!$C$5:$C$1000)-ROW(Auction!$C$5)+1),ROWS($A$9:A35))),"")</f>
        <v/>
      </c>
      <c r="B35" s="6">
        <f t="array" ref="B35">IFERROR(INDEX(Auction!$B$5:$B$1000,SMALL(IF(Auction!$C$5:$C$1000=$A$1,ROW(Auction!$C$5:$C$1000)-ROW(Auction!$C$5)+1),ROWS($A$9:A35))),"")</f>
        <v/>
      </c>
      <c r="C35" s="7">
        <f>IFERROR(T(VLOOKUP($A35,Players!$A:$E,2,FALSE)),"")</f>
        <v/>
      </c>
      <c r="D35" s="7">
        <f>IFERROR(T(VLOOKUP($A35,Players!$A:$E,3,FALSE)),"")</f>
        <v/>
      </c>
      <c r="E35" s="5">
        <f>IFERROR(T(VLOOKUP($A35,Players!$A:$E,4,FALSE)),"")</f>
        <v/>
      </c>
      <c r="F35" s="5">
        <f>IFERROR(T(VLOOKUP($A35,Players!$A:$E,5,FALSE)),"")</f>
        <v/>
      </c>
    </row>
    <row r="36">
      <c r="A36" s="8">
        <f t="array" ref="A36">IFERROR(INDEX(Auction!$A$5:$A$1000,SMALL(IF(Auction!$C$5:$C$1000=$A$1,ROW(Auction!$C$5:$C$1000)-ROW(Auction!$C$5)+1),ROWS($A$9:A36))),"")</f>
        <v/>
      </c>
      <c r="B36" s="9">
        <f t="array" ref="B36">IFERROR(INDEX(Auction!$B$5:$B$1000,SMALL(IF(Auction!$C$5:$C$1000=$A$1,ROW(Auction!$C$5:$C$1000)-ROW(Auction!$C$5)+1),ROWS($A$9:A36))),"")</f>
        <v/>
      </c>
      <c r="C36" s="10">
        <f>IFERROR(T(VLOOKUP($A36,Players!$A:$E,2,FALSE)),"")</f>
        <v/>
      </c>
      <c r="D36" s="10">
        <f>IFERROR(T(VLOOKUP($A36,Players!$A:$E,3,FALSE)),"")</f>
        <v/>
      </c>
      <c r="E36" s="8">
        <f>IFERROR(T(VLOOKUP($A36,Players!$A:$E,4,FALSE)),"")</f>
        <v/>
      </c>
      <c r="F36" s="8">
        <f>IFERROR(T(VLOOKUP($A36,Players!$A:$E,5,FALSE)),"")</f>
        <v/>
      </c>
    </row>
    <row r="37">
      <c r="A37" s="5">
        <f t="array" ref="A37">IFERROR(INDEX(Auction!$A$5:$A$1000,SMALL(IF(Auction!$C$5:$C$1000=$A$1,ROW(Auction!$C$5:$C$1000)-ROW(Auction!$C$5)+1),ROWS($A$9:A37))),"")</f>
        <v/>
      </c>
      <c r="B37" s="6">
        <f t="array" ref="B37">IFERROR(INDEX(Auction!$B$5:$B$1000,SMALL(IF(Auction!$C$5:$C$1000=$A$1,ROW(Auction!$C$5:$C$1000)-ROW(Auction!$C$5)+1),ROWS($A$9:A37))),"")</f>
        <v/>
      </c>
      <c r="C37" s="7">
        <f>IFERROR(T(VLOOKUP($A37,Players!$A:$E,2,FALSE)),"")</f>
        <v/>
      </c>
      <c r="D37" s="7">
        <f>IFERROR(T(VLOOKUP($A37,Players!$A:$E,3,FALSE)),"")</f>
        <v/>
      </c>
      <c r="E37" s="5">
        <f>IFERROR(T(VLOOKUP($A37,Players!$A:$E,4,FALSE)),"")</f>
        <v/>
      </c>
      <c r="F37" s="5">
        <f>IFERROR(T(VLOOKUP($A37,Players!$A:$E,5,FALSE)),"")</f>
        <v/>
      </c>
    </row>
    <row r="38">
      <c r="A38" s="8">
        <f t="array" ref="A38">IFERROR(INDEX(Auction!$A$5:$A$1000,SMALL(IF(Auction!$C$5:$C$1000=$A$1,ROW(Auction!$C$5:$C$1000)-ROW(Auction!$C$5)+1),ROWS($A$9:A38))),"")</f>
        <v/>
      </c>
      <c r="B38" s="9">
        <f t="array" ref="B38">IFERROR(INDEX(Auction!$B$5:$B$1000,SMALL(IF(Auction!$C$5:$C$1000=$A$1,ROW(Auction!$C$5:$C$1000)-ROW(Auction!$C$5)+1),ROWS($A$9:A38))),"")</f>
        <v/>
      </c>
      <c r="C38" s="10">
        <f>IFERROR(T(VLOOKUP($A38,Players!$A:$E,2,FALSE)),"")</f>
        <v/>
      </c>
      <c r="D38" s="10">
        <f>IFERROR(T(VLOOKUP($A38,Players!$A:$E,3,FALSE)),"")</f>
        <v/>
      </c>
      <c r="E38" s="8">
        <f>IFERROR(T(VLOOKUP($A38,Players!$A:$E,4,FALSE)),"")</f>
        <v/>
      </c>
      <c r="F38" s="8">
        <f>IFERROR(T(VLOOKUP($A38,Players!$A:$E,5,FALSE)),"")</f>
        <v/>
      </c>
    </row>
    <row r="39">
      <c r="A39" s="5">
        <f t="array" ref="A39">IFERROR(INDEX(Auction!$A$5:$A$1000,SMALL(IF(Auction!$C$5:$C$1000=$A$1,ROW(Auction!$C$5:$C$1000)-ROW(Auction!$C$5)+1),ROWS($A$9:A39))),"")</f>
        <v/>
      </c>
      <c r="B39" s="6">
        <f t="array" ref="B39">IFERROR(INDEX(Auction!$B$5:$B$1000,SMALL(IF(Auction!$C$5:$C$1000=$A$1,ROW(Auction!$C$5:$C$1000)-ROW(Auction!$C$5)+1),ROWS($A$9:A39))),"")</f>
        <v/>
      </c>
      <c r="C39" s="7">
        <f>IFERROR(T(VLOOKUP($A39,Players!$A:$E,2,FALSE)),"")</f>
        <v/>
      </c>
      <c r="D39" s="7">
        <f>IFERROR(T(VLOOKUP($A39,Players!$A:$E,3,FALSE)),"")</f>
        <v/>
      </c>
      <c r="E39" s="5">
        <f>IFERROR(T(VLOOKUP($A39,Players!$A:$E,4,FALSE)),"")</f>
        <v/>
      </c>
      <c r="F39" s="5">
        <f>IFERROR(T(VLOOKUP($A39,Players!$A:$E,5,FALSE)),"")</f>
        <v/>
      </c>
    </row>
    <row r="40">
      <c r="A40" s="8">
        <f t="array" ref="A40">IFERROR(INDEX(Auction!$A$5:$A$1000,SMALL(IF(Auction!$C$5:$C$1000=$A$1,ROW(Auction!$C$5:$C$1000)-ROW(Auction!$C$5)+1),ROWS($A$9:A40))),"")</f>
        <v/>
      </c>
      <c r="B40" s="9">
        <f t="array" ref="B40">IFERROR(INDEX(Auction!$B$5:$B$1000,SMALL(IF(Auction!$C$5:$C$1000=$A$1,ROW(Auction!$C$5:$C$1000)-ROW(Auction!$C$5)+1),ROWS($A$9:A40))),"")</f>
        <v/>
      </c>
      <c r="C40" s="10">
        <f>IFERROR(T(VLOOKUP($A40,Players!$A:$E,2,FALSE)),"")</f>
        <v/>
      </c>
      <c r="D40" s="10">
        <f>IFERROR(T(VLOOKUP($A40,Players!$A:$E,3,FALSE)),"")</f>
        <v/>
      </c>
      <c r="E40" s="8">
        <f>IFERROR(T(VLOOKUP($A40,Players!$A:$E,4,FALSE)),"")</f>
        <v/>
      </c>
      <c r="F40" s="8">
        <f>IFERROR(T(VLOOKUP($A40,Players!$A:$E,5,FALSE)),"")</f>
        <v/>
      </c>
    </row>
    <row r="41">
      <c r="A41" s="5">
        <f t="array" ref="A41">IFERROR(INDEX(Auction!$A$5:$A$1000,SMALL(IF(Auction!$C$5:$C$1000=$A$1,ROW(Auction!$C$5:$C$1000)-ROW(Auction!$C$5)+1),ROWS($A$9:A41))),"")</f>
        <v/>
      </c>
      <c r="B41" s="6">
        <f t="array" ref="B41">IFERROR(INDEX(Auction!$B$5:$B$1000,SMALL(IF(Auction!$C$5:$C$1000=$A$1,ROW(Auction!$C$5:$C$1000)-ROW(Auction!$C$5)+1),ROWS($A$9:A41))),"")</f>
        <v/>
      </c>
      <c r="C41" s="7">
        <f>IFERROR(T(VLOOKUP($A41,Players!$A:$E,2,FALSE)),"")</f>
        <v/>
      </c>
      <c r="D41" s="7">
        <f>IFERROR(T(VLOOKUP($A41,Players!$A:$E,3,FALSE)),"")</f>
        <v/>
      </c>
      <c r="E41" s="5">
        <f>IFERROR(T(VLOOKUP($A41,Players!$A:$E,4,FALSE)),"")</f>
        <v/>
      </c>
      <c r="F41" s="5">
        <f>IFERROR(T(VLOOKUP($A41,Players!$A:$E,5,FALSE)),"")</f>
        <v/>
      </c>
    </row>
    <row r="42">
      <c r="A42" s="8">
        <f t="array" ref="A42">IFERROR(INDEX(Auction!$A$5:$A$1000,SMALL(IF(Auction!$C$5:$C$1000=$A$1,ROW(Auction!$C$5:$C$1000)-ROW(Auction!$C$5)+1),ROWS($A$9:A42))),"")</f>
        <v/>
      </c>
      <c r="B42" s="9">
        <f t="array" ref="B42">IFERROR(INDEX(Auction!$B$5:$B$1000,SMALL(IF(Auction!$C$5:$C$1000=$A$1,ROW(Auction!$C$5:$C$1000)-ROW(Auction!$C$5)+1),ROWS($A$9:A42))),"")</f>
        <v/>
      </c>
      <c r="C42" s="10">
        <f>IFERROR(T(VLOOKUP($A42,Players!$A:$E,2,FALSE)),"")</f>
        <v/>
      </c>
      <c r="D42" s="10">
        <f>IFERROR(T(VLOOKUP($A42,Players!$A:$E,3,FALSE)),"")</f>
        <v/>
      </c>
      <c r="E42" s="8">
        <f>IFERROR(T(VLOOKUP($A42,Players!$A:$E,4,FALSE)),"")</f>
        <v/>
      </c>
      <c r="F42" s="8">
        <f>IFERROR(T(VLOOKUP($A42,Players!$A:$E,5,FALSE)),"")</f>
        <v/>
      </c>
    </row>
    <row r="43">
      <c r="A43" s="5">
        <f t="array" ref="A43">IFERROR(INDEX(Auction!$A$5:$A$1000,SMALL(IF(Auction!$C$5:$C$1000=$A$1,ROW(Auction!$C$5:$C$1000)-ROW(Auction!$C$5)+1),ROWS($A$9:A43))),"")</f>
        <v/>
      </c>
      <c r="B43" s="6">
        <f t="array" ref="B43">IFERROR(INDEX(Auction!$B$5:$B$1000,SMALL(IF(Auction!$C$5:$C$1000=$A$1,ROW(Auction!$C$5:$C$1000)-ROW(Auction!$C$5)+1),ROWS($A$9:A43))),"")</f>
        <v/>
      </c>
      <c r="C43" s="7">
        <f>IFERROR(T(VLOOKUP($A43,Players!$A:$E,2,FALSE)),"")</f>
        <v/>
      </c>
      <c r="D43" s="7">
        <f>IFERROR(T(VLOOKUP($A43,Players!$A:$E,3,FALSE)),"")</f>
        <v/>
      </c>
      <c r="E43" s="5">
        <f>IFERROR(T(VLOOKUP($A43,Players!$A:$E,4,FALSE)),"")</f>
        <v/>
      </c>
      <c r="F43" s="5">
        <f>IFERROR(T(VLOOKUP($A43,Players!$A:$E,5,FALSE)),"")</f>
        <v/>
      </c>
    </row>
    <row r="44">
      <c r="A44" s="8">
        <f t="array" ref="A44">IFERROR(INDEX(Auction!$A$5:$A$1000,SMALL(IF(Auction!$C$5:$C$1000=$A$1,ROW(Auction!$C$5:$C$1000)-ROW(Auction!$C$5)+1),ROWS($A$9:A44))),"")</f>
        <v/>
      </c>
      <c r="B44" s="9">
        <f t="array" ref="B44">IFERROR(INDEX(Auction!$B$5:$B$1000,SMALL(IF(Auction!$C$5:$C$1000=$A$1,ROW(Auction!$C$5:$C$1000)-ROW(Auction!$C$5)+1),ROWS($A$9:A44))),"")</f>
        <v/>
      </c>
      <c r="C44" s="10">
        <f>IFERROR(T(VLOOKUP($A44,Players!$A:$E,2,FALSE)),"")</f>
        <v/>
      </c>
      <c r="D44" s="10">
        <f>IFERROR(T(VLOOKUP($A44,Players!$A:$E,3,FALSE)),"")</f>
        <v/>
      </c>
      <c r="E44" s="8">
        <f>IFERROR(T(VLOOKUP($A44,Players!$A:$E,4,FALSE)),"")</f>
        <v/>
      </c>
      <c r="F44" s="8">
        <f>IFERROR(T(VLOOKUP($A44,Players!$A:$E,5,FALSE)),"")</f>
        <v/>
      </c>
    </row>
    <row r="45">
      <c r="A45" s="5">
        <f t="array" ref="A45">IFERROR(INDEX(Auction!$A$5:$A$1000,SMALL(IF(Auction!$C$5:$C$1000=$A$1,ROW(Auction!$C$5:$C$1000)-ROW(Auction!$C$5)+1),ROWS($A$9:A45))),"")</f>
        <v/>
      </c>
      <c r="B45" s="6">
        <f t="array" ref="B45">IFERROR(INDEX(Auction!$B$5:$B$1000,SMALL(IF(Auction!$C$5:$C$1000=$A$1,ROW(Auction!$C$5:$C$1000)-ROW(Auction!$C$5)+1),ROWS($A$9:A45))),"")</f>
        <v/>
      </c>
      <c r="C45" s="7">
        <f>IFERROR(T(VLOOKUP($A45,Players!$A:$E,2,FALSE)),"")</f>
        <v/>
      </c>
      <c r="D45" s="7">
        <f>IFERROR(T(VLOOKUP($A45,Players!$A:$E,3,FALSE)),"")</f>
        <v/>
      </c>
      <c r="E45" s="5">
        <f>IFERROR(T(VLOOKUP($A45,Players!$A:$E,4,FALSE)),"")</f>
        <v/>
      </c>
      <c r="F45" s="5">
        <f>IFERROR(T(VLOOKUP($A45,Players!$A:$E,5,FALSE)),"")</f>
        <v/>
      </c>
    </row>
    <row r="46">
      <c r="A46" s="8">
        <f t="array" ref="A46">IFERROR(INDEX(Auction!$A$5:$A$1000,SMALL(IF(Auction!$C$5:$C$1000=$A$1,ROW(Auction!$C$5:$C$1000)-ROW(Auction!$C$5)+1),ROWS($A$9:A46))),"")</f>
        <v/>
      </c>
      <c r="B46" s="9">
        <f t="array" ref="B46">IFERROR(INDEX(Auction!$B$5:$B$1000,SMALL(IF(Auction!$C$5:$C$1000=$A$1,ROW(Auction!$C$5:$C$1000)-ROW(Auction!$C$5)+1),ROWS($A$9:A46))),"")</f>
        <v/>
      </c>
      <c r="C46" s="10">
        <f>IFERROR(T(VLOOKUP($A46,Players!$A:$E,2,FALSE)),"")</f>
        <v/>
      </c>
      <c r="D46" s="10">
        <f>IFERROR(T(VLOOKUP($A46,Players!$A:$E,3,FALSE)),"")</f>
        <v/>
      </c>
      <c r="E46" s="8">
        <f>IFERROR(T(VLOOKUP($A46,Players!$A:$E,4,FALSE)),"")</f>
        <v/>
      </c>
      <c r="F46" s="8">
        <f>IFERROR(T(VLOOKUP($A46,Players!$A:$E,5,FALSE)),"")</f>
        <v/>
      </c>
    </row>
    <row r="47">
      <c r="A47" s="5">
        <f t="array" ref="A47">IFERROR(INDEX(Auction!$A$5:$A$1000,SMALL(IF(Auction!$C$5:$C$1000=$A$1,ROW(Auction!$C$5:$C$1000)-ROW(Auction!$C$5)+1),ROWS($A$9:A47))),"")</f>
        <v/>
      </c>
      <c r="B47" s="6">
        <f t="array" ref="B47">IFERROR(INDEX(Auction!$B$5:$B$1000,SMALL(IF(Auction!$C$5:$C$1000=$A$1,ROW(Auction!$C$5:$C$1000)-ROW(Auction!$C$5)+1),ROWS($A$9:A47))),"")</f>
        <v/>
      </c>
      <c r="C47" s="7">
        <f>IFERROR(T(VLOOKUP($A47,Players!$A:$E,2,FALSE)),"")</f>
        <v/>
      </c>
      <c r="D47" s="7">
        <f>IFERROR(T(VLOOKUP($A47,Players!$A:$E,3,FALSE)),"")</f>
        <v/>
      </c>
      <c r="E47" s="5">
        <f>IFERROR(T(VLOOKUP($A47,Players!$A:$E,4,FALSE)),"")</f>
        <v/>
      </c>
      <c r="F47" s="5">
        <f>IFERROR(T(VLOOKUP($A47,Players!$A:$E,5,FALSE)),"")</f>
        <v/>
      </c>
    </row>
    <row r="48">
      <c r="A48" s="8">
        <f t="array" ref="A48">IFERROR(INDEX(Auction!$A$5:$A$1000,SMALL(IF(Auction!$C$5:$C$1000=$A$1,ROW(Auction!$C$5:$C$1000)-ROW(Auction!$C$5)+1),ROWS($A$9:A48))),"")</f>
        <v/>
      </c>
      <c r="B48" s="9">
        <f t="array" ref="B48">IFERROR(INDEX(Auction!$B$5:$B$1000,SMALL(IF(Auction!$C$5:$C$1000=$A$1,ROW(Auction!$C$5:$C$1000)-ROW(Auction!$C$5)+1),ROWS($A$9:A48))),"")</f>
        <v/>
      </c>
      <c r="C48" s="10">
        <f>IFERROR(T(VLOOKUP($A48,Players!$A:$E,2,FALSE)),"")</f>
        <v/>
      </c>
      <c r="D48" s="10">
        <f>IFERROR(T(VLOOKUP($A48,Players!$A:$E,3,FALSE)),"")</f>
        <v/>
      </c>
      <c r="E48" s="8">
        <f>IFERROR(T(VLOOKUP($A48,Players!$A:$E,4,FALSE)),"")</f>
        <v/>
      </c>
      <c r="F48" s="8">
        <f>IFERROR(T(VLOOKUP($A48,Players!$A:$E,5,FALSE)),"")</f>
        <v/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E5E8C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8" customWidth="1" min="4" max="4"/>
    <col width="14" customWidth="1" min="5" max="5"/>
    <col width="15" customWidth="1" min="6" max="6"/>
  </cols>
  <sheetData>
    <row r="1" ht="28" customHeight="1">
      <c r="A1" s="22">
        <f>Balance!A16</f>
        <v/>
      </c>
    </row>
    <row r="3">
      <c r="A3" s="23" t="inlineStr">
        <is>
          <t>Purse (Cr)</t>
        </is>
      </c>
      <c r="B3" s="24">
        <f>Balance!B16</f>
        <v/>
      </c>
    </row>
    <row r="4">
      <c r="A4" s="23" t="inlineStr">
        <is>
          <t>Spent (Cr)</t>
        </is>
      </c>
      <c r="B4" s="24">
        <f>Balance!C16</f>
        <v/>
      </c>
    </row>
    <row r="5">
      <c r="A5" s="25" t="inlineStr">
        <is>
          <t>Balance (Cr)</t>
        </is>
      </c>
      <c r="B5" s="26">
        <f>Balance!D16</f>
        <v/>
      </c>
    </row>
    <row r="6">
      <c r="A6" s="27" t="inlineStr">
        <is>
          <t>Players</t>
        </is>
      </c>
      <c r="B6" s="28">
        <f>Balance!E16</f>
        <v/>
      </c>
    </row>
    <row r="8">
      <c r="A8" s="3" t="inlineStr">
        <is>
          <t>Player</t>
        </is>
      </c>
      <c r="B8" s="3" t="inlineStr">
        <is>
          <t>Price (Cr)</t>
        </is>
      </c>
      <c r="C8" s="3" t="inlineStr">
        <is>
          <t>Role</t>
        </is>
      </c>
      <c r="D8" s="3" t="inlineStr">
        <is>
          <t>Hand</t>
        </is>
      </c>
      <c r="E8" s="3" t="inlineStr">
        <is>
          <t>Country</t>
        </is>
      </c>
      <c r="F8" s="3" t="inlineStr">
        <is>
          <t>City</t>
        </is>
      </c>
    </row>
    <row r="9">
      <c r="A9" s="5">
        <f t="array" ref="A9">IFERROR(INDEX(Auction!$A$5:$A$1000,SMALL(IF(Auction!$C$5:$C$1000=$A$1,ROW(Auction!$C$5:$C$1000)-ROW(Auction!$C$5)+1),ROWS($A$9:A9))),"")</f>
        <v/>
      </c>
      <c r="B9" s="6">
        <f t="array" ref="B9">IFERROR(INDEX(Auction!$B$5:$B$1000,SMALL(IF(Auction!$C$5:$C$1000=$A$1,ROW(Auction!$C$5:$C$1000)-ROW(Auction!$C$5)+1),ROWS($A$9:A9))),"")</f>
        <v/>
      </c>
      <c r="C9" s="7">
        <f>IFERROR(T(VLOOKUP($A9,Players!$A:$E,2,FALSE)),"")</f>
        <v/>
      </c>
      <c r="D9" s="7">
        <f>IFERROR(T(VLOOKUP($A9,Players!$A:$E,3,FALSE)),"")</f>
        <v/>
      </c>
      <c r="E9" s="5">
        <f>IFERROR(T(VLOOKUP($A9,Players!$A:$E,4,FALSE)),"")</f>
        <v/>
      </c>
      <c r="F9" s="5">
        <f>IFERROR(T(VLOOKUP($A9,Players!$A:$E,5,FALSE)),"")</f>
        <v/>
      </c>
    </row>
    <row r="10">
      <c r="A10" s="8">
        <f t="array" ref="A10">IFERROR(INDEX(Auction!$A$5:$A$1000,SMALL(IF(Auction!$C$5:$C$1000=$A$1,ROW(Auction!$C$5:$C$1000)-ROW(Auction!$C$5)+1),ROWS($A$9:A10))),"")</f>
        <v/>
      </c>
      <c r="B10" s="9">
        <f t="array" ref="B10">IFERROR(INDEX(Auction!$B$5:$B$1000,SMALL(IF(Auction!$C$5:$C$1000=$A$1,ROW(Auction!$C$5:$C$1000)-ROW(Auction!$C$5)+1),ROWS($A$9:A10))),"")</f>
        <v/>
      </c>
      <c r="C10" s="10">
        <f>IFERROR(T(VLOOKUP($A10,Players!$A:$E,2,FALSE)),"")</f>
        <v/>
      </c>
      <c r="D10" s="10">
        <f>IFERROR(T(VLOOKUP($A10,Players!$A:$E,3,FALSE)),"")</f>
        <v/>
      </c>
      <c r="E10" s="8">
        <f>IFERROR(T(VLOOKUP($A10,Players!$A:$E,4,FALSE)),"")</f>
        <v/>
      </c>
      <c r="F10" s="8">
        <f>IFERROR(T(VLOOKUP($A10,Players!$A:$E,5,FALSE)),"")</f>
        <v/>
      </c>
    </row>
    <row r="11">
      <c r="A11" s="5">
        <f t="array" ref="A11">IFERROR(INDEX(Auction!$A$5:$A$1000,SMALL(IF(Auction!$C$5:$C$1000=$A$1,ROW(Auction!$C$5:$C$1000)-ROW(Auction!$C$5)+1),ROWS($A$9:A11))),"")</f>
        <v/>
      </c>
      <c r="B11" s="6">
        <f t="array" ref="B11">IFERROR(INDEX(Auction!$B$5:$B$1000,SMALL(IF(Auction!$C$5:$C$1000=$A$1,ROW(Auction!$C$5:$C$1000)-ROW(Auction!$C$5)+1),ROWS($A$9:A11))),"")</f>
        <v/>
      </c>
      <c r="C11" s="7">
        <f>IFERROR(T(VLOOKUP($A11,Players!$A:$E,2,FALSE)),"")</f>
        <v/>
      </c>
      <c r="D11" s="7">
        <f>IFERROR(T(VLOOKUP($A11,Players!$A:$E,3,FALSE)),"")</f>
        <v/>
      </c>
      <c r="E11" s="5">
        <f>IFERROR(T(VLOOKUP($A11,Players!$A:$E,4,FALSE)),"")</f>
        <v/>
      </c>
      <c r="F11" s="5">
        <f>IFERROR(T(VLOOKUP($A11,Players!$A:$E,5,FALSE)),"")</f>
        <v/>
      </c>
    </row>
    <row r="12">
      <c r="A12" s="8">
        <f t="array" ref="A12">IFERROR(INDEX(Auction!$A$5:$A$1000,SMALL(IF(Auction!$C$5:$C$1000=$A$1,ROW(Auction!$C$5:$C$1000)-ROW(Auction!$C$5)+1),ROWS($A$9:A12))),"")</f>
        <v/>
      </c>
      <c r="B12" s="9">
        <f t="array" ref="B12">IFERROR(INDEX(Auction!$B$5:$B$1000,SMALL(IF(Auction!$C$5:$C$1000=$A$1,ROW(Auction!$C$5:$C$1000)-ROW(Auction!$C$5)+1),ROWS($A$9:A12))),"")</f>
        <v/>
      </c>
      <c r="C12" s="10">
        <f>IFERROR(T(VLOOKUP($A12,Players!$A:$E,2,FALSE)),"")</f>
        <v/>
      </c>
      <c r="D12" s="10">
        <f>IFERROR(T(VLOOKUP($A12,Players!$A:$E,3,FALSE)),"")</f>
        <v/>
      </c>
      <c r="E12" s="8">
        <f>IFERROR(T(VLOOKUP($A12,Players!$A:$E,4,FALSE)),"")</f>
        <v/>
      </c>
      <c r="F12" s="8">
        <f>IFERROR(T(VLOOKUP($A12,Players!$A:$E,5,FALSE)),"")</f>
        <v/>
      </c>
    </row>
    <row r="13">
      <c r="A13" s="5">
        <f t="array" ref="A13">IFERROR(INDEX(Auction!$A$5:$A$1000,SMALL(IF(Auction!$C$5:$C$1000=$A$1,ROW(Auction!$C$5:$C$1000)-ROW(Auction!$C$5)+1),ROWS($A$9:A13))),"")</f>
        <v/>
      </c>
      <c r="B13" s="6">
        <f t="array" ref="B13">IFERROR(INDEX(Auction!$B$5:$B$1000,SMALL(IF(Auction!$C$5:$C$1000=$A$1,ROW(Auction!$C$5:$C$1000)-ROW(Auction!$C$5)+1),ROWS($A$9:A13))),"")</f>
        <v/>
      </c>
      <c r="C13" s="7">
        <f>IFERROR(T(VLOOKUP($A13,Players!$A:$E,2,FALSE)),"")</f>
        <v/>
      </c>
      <c r="D13" s="7">
        <f>IFERROR(T(VLOOKUP($A13,Players!$A:$E,3,FALSE)),"")</f>
        <v/>
      </c>
      <c r="E13" s="5">
        <f>IFERROR(T(VLOOKUP($A13,Players!$A:$E,4,FALSE)),"")</f>
        <v/>
      </c>
      <c r="F13" s="5">
        <f>IFERROR(T(VLOOKUP($A13,Players!$A:$E,5,FALSE)),"")</f>
        <v/>
      </c>
    </row>
    <row r="14">
      <c r="A14" s="8">
        <f t="array" ref="A14">IFERROR(INDEX(Auction!$A$5:$A$1000,SMALL(IF(Auction!$C$5:$C$1000=$A$1,ROW(Auction!$C$5:$C$1000)-ROW(Auction!$C$5)+1),ROWS($A$9:A14))),"")</f>
        <v/>
      </c>
      <c r="B14" s="9">
        <f t="array" ref="B14">IFERROR(INDEX(Auction!$B$5:$B$1000,SMALL(IF(Auction!$C$5:$C$1000=$A$1,ROW(Auction!$C$5:$C$1000)-ROW(Auction!$C$5)+1),ROWS($A$9:A14))),"")</f>
        <v/>
      </c>
      <c r="C14" s="10">
        <f>IFERROR(T(VLOOKUP($A14,Players!$A:$E,2,FALSE)),"")</f>
        <v/>
      </c>
      <c r="D14" s="10">
        <f>IFERROR(T(VLOOKUP($A14,Players!$A:$E,3,FALSE)),"")</f>
        <v/>
      </c>
      <c r="E14" s="8">
        <f>IFERROR(T(VLOOKUP($A14,Players!$A:$E,4,FALSE)),"")</f>
        <v/>
      </c>
      <c r="F14" s="8">
        <f>IFERROR(T(VLOOKUP($A14,Players!$A:$E,5,FALSE)),"")</f>
        <v/>
      </c>
    </row>
    <row r="15">
      <c r="A15" s="5">
        <f t="array" ref="A15">IFERROR(INDEX(Auction!$A$5:$A$1000,SMALL(IF(Auction!$C$5:$C$1000=$A$1,ROW(Auction!$C$5:$C$1000)-ROW(Auction!$C$5)+1),ROWS($A$9:A15))),"")</f>
        <v/>
      </c>
      <c r="B15" s="6">
        <f t="array" ref="B15">IFERROR(INDEX(Auction!$B$5:$B$1000,SMALL(IF(Auction!$C$5:$C$1000=$A$1,ROW(Auction!$C$5:$C$1000)-ROW(Auction!$C$5)+1),ROWS($A$9:A15))),"")</f>
        <v/>
      </c>
      <c r="C15" s="7">
        <f>IFERROR(T(VLOOKUP($A15,Players!$A:$E,2,FALSE)),"")</f>
        <v/>
      </c>
      <c r="D15" s="7">
        <f>IFERROR(T(VLOOKUP($A15,Players!$A:$E,3,FALSE)),"")</f>
        <v/>
      </c>
      <c r="E15" s="5">
        <f>IFERROR(T(VLOOKUP($A15,Players!$A:$E,4,FALSE)),"")</f>
        <v/>
      </c>
      <c r="F15" s="5">
        <f>IFERROR(T(VLOOKUP($A15,Players!$A:$E,5,FALSE)),"")</f>
        <v/>
      </c>
    </row>
    <row r="16">
      <c r="A16" s="8">
        <f t="array" ref="A16">IFERROR(INDEX(Auction!$A$5:$A$1000,SMALL(IF(Auction!$C$5:$C$1000=$A$1,ROW(Auction!$C$5:$C$1000)-ROW(Auction!$C$5)+1),ROWS($A$9:A16))),"")</f>
        <v/>
      </c>
      <c r="B16" s="9">
        <f t="array" ref="B16">IFERROR(INDEX(Auction!$B$5:$B$1000,SMALL(IF(Auction!$C$5:$C$1000=$A$1,ROW(Auction!$C$5:$C$1000)-ROW(Auction!$C$5)+1),ROWS($A$9:A16))),"")</f>
        <v/>
      </c>
      <c r="C16" s="10">
        <f>IFERROR(T(VLOOKUP($A16,Players!$A:$E,2,FALSE)),"")</f>
        <v/>
      </c>
      <c r="D16" s="10">
        <f>IFERROR(T(VLOOKUP($A16,Players!$A:$E,3,FALSE)),"")</f>
        <v/>
      </c>
      <c r="E16" s="8">
        <f>IFERROR(T(VLOOKUP($A16,Players!$A:$E,4,FALSE)),"")</f>
        <v/>
      </c>
      <c r="F16" s="8">
        <f>IFERROR(T(VLOOKUP($A16,Players!$A:$E,5,FALSE)),"")</f>
        <v/>
      </c>
    </row>
    <row r="17">
      <c r="A17" s="5">
        <f t="array" ref="A17">IFERROR(INDEX(Auction!$A$5:$A$1000,SMALL(IF(Auction!$C$5:$C$1000=$A$1,ROW(Auction!$C$5:$C$1000)-ROW(Auction!$C$5)+1),ROWS($A$9:A17))),"")</f>
        <v/>
      </c>
      <c r="B17" s="6">
        <f t="array" ref="B17">IFERROR(INDEX(Auction!$B$5:$B$1000,SMALL(IF(Auction!$C$5:$C$1000=$A$1,ROW(Auction!$C$5:$C$1000)-ROW(Auction!$C$5)+1),ROWS($A$9:A17))),"")</f>
        <v/>
      </c>
      <c r="C17" s="7">
        <f>IFERROR(T(VLOOKUP($A17,Players!$A:$E,2,FALSE)),"")</f>
        <v/>
      </c>
      <c r="D17" s="7">
        <f>IFERROR(T(VLOOKUP($A17,Players!$A:$E,3,FALSE)),"")</f>
        <v/>
      </c>
      <c r="E17" s="5">
        <f>IFERROR(T(VLOOKUP($A17,Players!$A:$E,4,FALSE)),"")</f>
        <v/>
      </c>
      <c r="F17" s="5">
        <f>IFERROR(T(VLOOKUP($A17,Players!$A:$E,5,FALSE)),"")</f>
        <v/>
      </c>
    </row>
    <row r="18">
      <c r="A18" s="8">
        <f t="array" ref="A18">IFERROR(INDEX(Auction!$A$5:$A$1000,SMALL(IF(Auction!$C$5:$C$1000=$A$1,ROW(Auction!$C$5:$C$1000)-ROW(Auction!$C$5)+1),ROWS($A$9:A18))),"")</f>
        <v/>
      </c>
      <c r="B18" s="9">
        <f t="array" ref="B18">IFERROR(INDEX(Auction!$B$5:$B$1000,SMALL(IF(Auction!$C$5:$C$1000=$A$1,ROW(Auction!$C$5:$C$1000)-ROW(Auction!$C$5)+1),ROWS($A$9:A18))),"")</f>
        <v/>
      </c>
      <c r="C18" s="10">
        <f>IFERROR(T(VLOOKUP($A18,Players!$A:$E,2,FALSE)),"")</f>
        <v/>
      </c>
      <c r="D18" s="10">
        <f>IFERROR(T(VLOOKUP($A18,Players!$A:$E,3,FALSE)),"")</f>
        <v/>
      </c>
      <c r="E18" s="8">
        <f>IFERROR(T(VLOOKUP($A18,Players!$A:$E,4,FALSE)),"")</f>
        <v/>
      </c>
      <c r="F18" s="8">
        <f>IFERROR(T(VLOOKUP($A18,Players!$A:$E,5,FALSE)),"")</f>
        <v/>
      </c>
    </row>
    <row r="19">
      <c r="A19" s="5">
        <f t="array" ref="A19">IFERROR(INDEX(Auction!$A$5:$A$1000,SMALL(IF(Auction!$C$5:$C$1000=$A$1,ROW(Auction!$C$5:$C$1000)-ROW(Auction!$C$5)+1),ROWS($A$9:A19))),"")</f>
        <v/>
      </c>
      <c r="B19" s="6">
        <f t="array" ref="B19">IFERROR(INDEX(Auction!$B$5:$B$1000,SMALL(IF(Auction!$C$5:$C$1000=$A$1,ROW(Auction!$C$5:$C$1000)-ROW(Auction!$C$5)+1),ROWS($A$9:A19))),"")</f>
        <v/>
      </c>
      <c r="C19" s="7">
        <f>IFERROR(T(VLOOKUP($A19,Players!$A:$E,2,FALSE)),"")</f>
        <v/>
      </c>
      <c r="D19" s="7">
        <f>IFERROR(T(VLOOKUP($A19,Players!$A:$E,3,FALSE)),"")</f>
        <v/>
      </c>
      <c r="E19" s="5">
        <f>IFERROR(T(VLOOKUP($A19,Players!$A:$E,4,FALSE)),"")</f>
        <v/>
      </c>
      <c r="F19" s="5">
        <f>IFERROR(T(VLOOKUP($A19,Players!$A:$E,5,FALSE)),"")</f>
        <v/>
      </c>
    </row>
    <row r="20">
      <c r="A20" s="8">
        <f t="array" ref="A20">IFERROR(INDEX(Auction!$A$5:$A$1000,SMALL(IF(Auction!$C$5:$C$1000=$A$1,ROW(Auction!$C$5:$C$1000)-ROW(Auction!$C$5)+1),ROWS($A$9:A20))),"")</f>
        <v/>
      </c>
      <c r="B20" s="9">
        <f t="array" ref="B20">IFERROR(INDEX(Auction!$B$5:$B$1000,SMALL(IF(Auction!$C$5:$C$1000=$A$1,ROW(Auction!$C$5:$C$1000)-ROW(Auction!$C$5)+1),ROWS($A$9:A20))),"")</f>
        <v/>
      </c>
      <c r="C20" s="10">
        <f>IFERROR(T(VLOOKUP($A20,Players!$A:$E,2,FALSE)),"")</f>
        <v/>
      </c>
      <c r="D20" s="10">
        <f>IFERROR(T(VLOOKUP($A20,Players!$A:$E,3,FALSE)),"")</f>
        <v/>
      </c>
      <c r="E20" s="8">
        <f>IFERROR(T(VLOOKUP($A20,Players!$A:$E,4,FALSE)),"")</f>
        <v/>
      </c>
      <c r="F20" s="8">
        <f>IFERROR(T(VLOOKUP($A20,Players!$A:$E,5,FALSE)),"")</f>
        <v/>
      </c>
    </row>
    <row r="21">
      <c r="A21" s="5">
        <f t="array" ref="A21">IFERROR(INDEX(Auction!$A$5:$A$1000,SMALL(IF(Auction!$C$5:$C$1000=$A$1,ROW(Auction!$C$5:$C$1000)-ROW(Auction!$C$5)+1),ROWS($A$9:A21))),"")</f>
        <v/>
      </c>
      <c r="B21" s="6">
        <f t="array" ref="B21">IFERROR(INDEX(Auction!$B$5:$B$1000,SMALL(IF(Auction!$C$5:$C$1000=$A$1,ROW(Auction!$C$5:$C$1000)-ROW(Auction!$C$5)+1),ROWS($A$9:A21))),"")</f>
        <v/>
      </c>
      <c r="C21" s="7">
        <f>IFERROR(T(VLOOKUP($A21,Players!$A:$E,2,FALSE)),"")</f>
        <v/>
      </c>
      <c r="D21" s="7">
        <f>IFERROR(T(VLOOKUP($A21,Players!$A:$E,3,FALSE)),"")</f>
        <v/>
      </c>
      <c r="E21" s="5">
        <f>IFERROR(T(VLOOKUP($A21,Players!$A:$E,4,FALSE)),"")</f>
        <v/>
      </c>
      <c r="F21" s="5">
        <f>IFERROR(T(VLOOKUP($A21,Players!$A:$E,5,FALSE)),"")</f>
        <v/>
      </c>
    </row>
    <row r="22">
      <c r="A22" s="8">
        <f t="array" ref="A22">IFERROR(INDEX(Auction!$A$5:$A$1000,SMALL(IF(Auction!$C$5:$C$1000=$A$1,ROW(Auction!$C$5:$C$1000)-ROW(Auction!$C$5)+1),ROWS($A$9:A22))),"")</f>
        <v/>
      </c>
      <c r="B22" s="9">
        <f t="array" ref="B22">IFERROR(INDEX(Auction!$B$5:$B$1000,SMALL(IF(Auction!$C$5:$C$1000=$A$1,ROW(Auction!$C$5:$C$1000)-ROW(Auction!$C$5)+1),ROWS($A$9:A22))),"")</f>
        <v/>
      </c>
      <c r="C22" s="10">
        <f>IFERROR(T(VLOOKUP($A22,Players!$A:$E,2,FALSE)),"")</f>
        <v/>
      </c>
      <c r="D22" s="10">
        <f>IFERROR(T(VLOOKUP($A22,Players!$A:$E,3,FALSE)),"")</f>
        <v/>
      </c>
      <c r="E22" s="8">
        <f>IFERROR(T(VLOOKUP($A22,Players!$A:$E,4,FALSE)),"")</f>
        <v/>
      </c>
      <c r="F22" s="8">
        <f>IFERROR(T(VLOOKUP($A22,Players!$A:$E,5,FALSE)),"")</f>
        <v/>
      </c>
    </row>
    <row r="23">
      <c r="A23" s="5">
        <f t="array" ref="A23">IFERROR(INDEX(Auction!$A$5:$A$1000,SMALL(IF(Auction!$C$5:$C$1000=$A$1,ROW(Auction!$C$5:$C$1000)-ROW(Auction!$C$5)+1),ROWS($A$9:A23))),"")</f>
        <v/>
      </c>
      <c r="B23" s="6">
        <f t="array" ref="B23">IFERROR(INDEX(Auction!$B$5:$B$1000,SMALL(IF(Auction!$C$5:$C$1000=$A$1,ROW(Auction!$C$5:$C$1000)-ROW(Auction!$C$5)+1),ROWS($A$9:A23))),"")</f>
        <v/>
      </c>
      <c r="C23" s="7">
        <f>IFERROR(T(VLOOKUP($A23,Players!$A:$E,2,FALSE)),"")</f>
        <v/>
      </c>
      <c r="D23" s="7">
        <f>IFERROR(T(VLOOKUP($A23,Players!$A:$E,3,FALSE)),"")</f>
        <v/>
      </c>
      <c r="E23" s="5">
        <f>IFERROR(T(VLOOKUP($A23,Players!$A:$E,4,FALSE)),"")</f>
        <v/>
      </c>
      <c r="F23" s="5">
        <f>IFERROR(T(VLOOKUP($A23,Players!$A:$E,5,FALSE)),"")</f>
        <v/>
      </c>
    </row>
    <row r="24">
      <c r="A24" s="8">
        <f t="array" ref="A24">IFERROR(INDEX(Auction!$A$5:$A$1000,SMALL(IF(Auction!$C$5:$C$1000=$A$1,ROW(Auction!$C$5:$C$1000)-ROW(Auction!$C$5)+1),ROWS($A$9:A24))),"")</f>
        <v/>
      </c>
      <c r="B24" s="9">
        <f t="array" ref="B24">IFERROR(INDEX(Auction!$B$5:$B$1000,SMALL(IF(Auction!$C$5:$C$1000=$A$1,ROW(Auction!$C$5:$C$1000)-ROW(Auction!$C$5)+1),ROWS($A$9:A24))),"")</f>
        <v/>
      </c>
      <c r="C24" s="10">
        <f>IFERROR(T(VLOOKUP($A24,Players!$A:$E,2,FALSE)),"")</f>
        <v/>
      </c>
      <c r="D24" s="10">
        <f>IFERROR(T(VLOOKUP($A24,Players!$A:$E,3,FALSE)),"")</f>
        <v/>
      </c>
      <c r="E24" s="8">
        <f>IFERROR(T(VLOOKUP($A24,Players!$A:$E,4,FALSE)),"")</f>
        <v/>
      </c>
      <c r="F24" s="8">
        <f>IFERROR(T(VLOOKUP($A24,Players!$A:$E,5,FALSE)),"")</f>
        <v/>
      </c>
    </row>
    <row r="25">
      <c r="A25" s="5">
        <f t="array" ref="A25">IFERROR(INDEX(Auction!$A$5:$A$1000,SMALL(IF(Auction!$C$5:$C$1000=$A$1,ROW(Auction!$C$5:$C$1000)-ROW(Auction!$C$5)+1),ROWS($A$9:A25))),"")</f>
        <v/>
      </c>
      <c r="B25" s="6">
        <f t="array" ref="B25">IFERROR(INDEX(Auction!$B$5:$B$1000,SMALL(IF(Auction!$C$5:$C$1000=$A$1,ROW(Auction!$C$5:$C$1000)-ROW(Auction!$C$5)+1),ROWS($A$9:A25))),"")</f>
        <v/>
      </c>
      <c r="C25" s="7">
        <f>IFERROR(T(VLOOKUP($A25,Players!$A:$E,2,FALSE)),"")</f>
        <v/>
      </c>
      <c r="D25" s="7">
        <f>IFERROR(T(VLOOKUP($A25,Players!$A:$E,3,FALSE)),"")</f>
        <v/>
      </c>
      <c r="E25" s="5">
        <f>IFERROR(T(VLOOKUP($A25,Players!$A:$E,4,FALSE)),"")</f>
        <v/>
      </c>
      <c r="F25" s="5">
        <f>IFERROR(T(VLOOKUP($A25,Players!$A:$E,5,FALSE)),"")</f>
        <v/>
      </c>
    </row>
    <row r="26">
      <c r="A26" s="8">
        <f t="array" ref="A26">IFERROR(INDEX(Auction!$A$5:$A$1000,SMALL(IF(Auction!$C$5:$C$1000=$A$1,ROW(Auction!$C$5:$C$1000)-ROW(Auction!$C$5)+1),ROWS($A$9:A26))),"")</f>
        <v/>
      </c>
      <c r="B26" s="9">
        <f t="array" ref="B26">IFERROR(INDEX(Auction!$B$5:$B$1000,SMALL(IF(Auction!$C$5:$C$1000=$A$1,ROW(Auction!$C$5:$C$1000)-ROW(Auction!$C$5)+1),ROWS($A$9:A26))),"")</f>
        <v/>
      </c>
      <c r="C26" s="10">
        <f>IFERROR(T(VLOOKUP($A26,Players!$A:$E,2,FALSE)),"")</f>
        <v/>
      </c>
      <c r="D26" s="10">
        <f>IFERROR(T(VLOOKUP($A26,Players!$A:$E,3,FALSE)),"")</f>
        <v/>
      </c>
      <c r="E26" s="8">
        <f>IFERROR(T(VLOOKUP($A26,Players!$A:$E,4,FALSE)),"")</f>
        <v/>
      </c>
      <c r="F26" s="8">
        <f>IFERROR(T(VLOOKUP($A26,Players!$A:$E,5,FALSE)),"")</f>
        <v/>
      </c>
    </row>
    <row r="27">
      <c r="A27" s="5">
        <f t="array" ref="A27">IFERROR(INDEX(Auction!$A$5:$A$1000,SMALL(IF(Auction!$C$5:$C$1000=$A$1,ROW(Auction!$C$5:$C$1000)-ROW(Auction!$C$5)+1),ROWS($A$9:A27))),"")</f>
        <v/>
      </c>
      <c r="B27" s="6">
        <f t="array" ref="B27">IFERROR(INDEX(Auction!$B$5:$B$1000,SMALL(IF(Auction!$C$5:$C$1000=$A$1,ROW(Auction!$C$5:$C$1000)-ROW(Auction!$C$5)+1),ROWS($A$9:A27))),"")</f>
        <v/>
      </c>
      <c r="C27" s="7">
        <f>IFERROR(T(VLOOKUP($A27,Players!$A:$E,2,FALSE)),"")</f>
        <v/>
      </c>
      <c r="D27" s="7">
        <f>IFERROR(T(VLOOKUP($A27,Players!$A:$E,3,FALSE)),"")</f>
        <v/>
      </c>
      <c r="E27" s="5">
        <f>IFERROR(T(VLOOKUP($A27,Players!$A:$E,4,FALSE)),"")</f>
        <v/>
      </c>
      <c r="F27" s="5">
        <f>IFERROR(T(VLOOKUP($A27,Players!$A:$E,5,FALSE)),"")</f>
        <v/>
      </c>
    </row>
    <row r="28">
      <c r="A28" s="8">
        <f t="array" ref="A28">IFERROR(INDEX(Auction!$A$5:$A$1000,SMALL(IF(Auction!$C$5:$C$1000=$A$1,ROW(Auction!$C$5:$C$1000)-ROW(Auction!$C$5)+1),ROWS($A$9:A28))),"")</f>
        <v/>
      </c>
      <c r="B28" s="9">
        <f t="array" ref="B28">IFERROR(INDEX(Auction!$B$5:$B$1000,SMALL(IF(Auction!$C$5:$C$1000=$A$1,ROW(Auction!$C$5:$C$1000)-ROW(Auction!$C$5)+1),ROWS($A$9:A28))),"")</f>
        <v/>
      </c>
      <c r="C28" s="10">
        <f>IFERROR(T(VLOOKUP($A28,Players!$A:$E,2,FALSE)),"")</f>
        <v/>
      </c>
      <c r="D28" s="10">
        <f>IFERROR(T(VLOOKUP($A28,Players!$A:$E,3,FALSE)),"")</f>
        <v/>
      </c>
      <c r="E28" s="8">
        <f>IFERROR(T(VLOOKUP($A28,Players!$A:$E,4,FALSE)),"")</f>
        <v/>
      </c>
      <c r="F28" s="8">
        <f>IFERROR(T(VLOOKUP($A28,Players!$A:$E,5,FALSE)),"")</f>
        <v/>
      </c>
    </row>
    <row r="29">
      <c r="A29" s="5">
        <f t="array" ref="A29">IFERROR(INDEX(Auction!$A$5:$A$1000,SMALL(IF(Auction!$C$5:$C$1000=$A$1,ROW(Auction!$C$5:$C$1000)-ROW(Auction!$C$5)+1),ROWS($A$9:A29))),"")</f>
        <v/>
      </c>
      <c r="B29" s="6">
        <f t="array" ref="B29">IFERROR(INDEX(Auction!$B$5:$B$1000,SMALL(IF(Auction!$C$5:$C$1000=$A$1,ROW(Auction!$C$5:$C$1000)-ROW(Auction!$C$5)+1),ROWS($A$9:A29))),"")</f>
        <v/>
      </c>
      <c r="C29" s="7">
        <f>IFERROR(T(VLOOKUP($A29,Players!$A:$E,2,FALSE)),"")</f>
        <v/>
      </c>
      <c r="D29" s="7">
        <f>IFERROR(T(VLOOKUP($A29,Players!$A:$E,3,FALSE)),"")</f>
        <v/>
      </c>
      <c r="E29" s="5">
        <f>IFERROR(T(VLOOKUP($A29,Players!$A:$E,4,FALSE)),"")</f>
        <v/>
      </c>
      <c r="F29" s="5">
        <f>IFERROR(T(VLOOKUP($A29,Players!$A:$E,5,FALSE)),"")</f>
        <v/>
      </c>
    </row>
    <row r="30">
      <c r="A30" s="8">
        <f t="array" ref="A30">IFERROR(INDEX(Auction!$A$5:$A$1000,SMALL(IF(Auction!$C$5:$C$1000=$A$1,ROW(Auction!$C$5:$C$1000)-ROW(Auction!$C$5)+1),ROWS($A$9:A30))),"")</f>
        <v/>
      </c>
      <c r="B30" s="9">
        <f t="array" ref="B30">IFERROR(INDEX(Auction!$B$5:$B$1000,SMALL(IF(Auction!$C$5:$C$1000=$A$1,ROW(Auction!$C$5:$C$1000)-ROW(Auction!$C$5)+1),ROWS($A$9:A30))),"")</f>
        <v/>
      </c>
      <c r="C30" s="10">
        <f>IFERROR(T(VLOOKUP($A30,Players!$A:$E,2,FALSE)),"")</f>
        <v/>
      </c>
      <c r="D30" s="10">
        <f>IFERROR(T(VLOOKUP($A30,Players!$A:$E,3,FALSE)),"")</f>
        <v/>
      </c>
      <c r="E30" s="8">
        <f>IFERROR(T(VLOOKUP($A30,Players!$A:$E,4,FALSE)),"")</f>
        <v/>
      </c>
      <c r="F30" s="8">
        <f>IFERROR(T(VLOOKUP($A30,Players!$A:$E,5,FALSE)),"")</f>
        <v/>
      </c>
    </row>
    <row r="31">
      <c r="A31" s="5">
        <f t="array" ref="A31">IFERROR(INDEX(Auction!$A$5:$A$1000,SMALL(IF(Auction!$C$5:$C$1000=$A$1,ROW(Auction!$C$5:$C$1000)-ROW(Auction!$C$5)+1),ROWS($A$9:A31))),"")</f>
        <v/>
      </c>
      <c r="B31" s="6">
        <f t="array" ref="B31">IFERROR(INDEX(Auction!$B$5:$B$1000,SMALL(IF(Auction!$C$5:$C$1000=$A$1,ROW(Auction!$C$5:$C$1000)-ROW(Auction!$C$5)+1),ROWS($A$9:A31))),"")</f>
        <v/>
      </c>
      <c r="C31" s="7">
        <f>IFERROR(T(VLOOKUP($A31,Players!$A:$E,2,FALSE)),"")</f>
        <v/>
      </c>
      <c r="D31" s="7">
        <f>IFERROR(T(VLOOKUP($A31,Players!$A:$E,3,FALSE)),"")</f>
        <v/>
      </c>
      <c r="E31" s="5">
        <f>IFERROR(T(VLOOKUP($A31,Players!$A:$E,4,FALSE)),"")</f>
        <v/>
      </c>
      <c r="F31" s="5">
        <f>IFERROR(T(VLOOKUP($A31,Players!$A:$E,5,FALSE)),"")</f>
        <v/>
      </c>
    </row>
    <row r="32">
      <c r="A32" s="8">
        <f t="array" ref="A32">IFERROR(INDEX(Auction!$A$5:$A$1000,SMALL(IF(Auction!$C$5:$C$1000=$A$1,ROW(Auction!$C$5:$C$1000)-ROW(Auction!$C$5)+1),ROWS($A$9:A32))),"")</f>
        <v/>
      </c>
      <c r="B32" s="9">
        <f t="array" ref="B32">IFERROR(INDEX(Auction!$B$5:$B$1000,SMALL(IF(Auction!$C$5:$C$1000=$A$1,ROW(Auction!$C$5:$C$1000)-ROW(Auction!$C$5)+1),ROWS($A$9:A32))),"")</f>
        <v/>
      </c>
      <c r="C32" s="10">
        <f>IFERROR(T(VLOOKUP($A32,Players!$A:$E,2,FALSE)),"")</f>
        <v/>
      </c>
      <c r="D32" s="10">
        <f>IFERROR(T(VLOOKUP($A32,Players!$A:$E,3,FALSE)),"")</f>
        <v/>
      </c>
      <c r="E32" s="8">
        <f>IFERROR(T(VLOOKUP($A32,Players!$A:$E,4,FALSE)),"")</f>
        <v/>
      </c>
      <c r="F32" s="8">
        <f>IFERROR(T(VLOOKUP($A32,Players!$A:$E,5,FALSE)),"")</f>
        <v/>
      </c>
    </row>
    <row r="33">
      <c r="A33" s="5">
        <f t="array" ref="A33">IFERROR(INDEX(Auction!$A$5:$A$1000,SMALL(IF(Auction!$C$5:$C$1000=$A$1,ROW(Auction!$C$5:$C$1000)-ROW(Auction!$C$5)+1),ROWS($A$9:A33))),"")</f>
        <v/>
      </c>
      <c r="B33" s="6">
        <f t="array" ref="B33">IFERROR(INDEX(Auction!$B$5:$B$1000,SMALL(IF(Auction!$C$5:$C$1000=$A$1,ROW(Auction!$C$5:$C$1000)-ROW(Auction!$C$5)+1),ROWS($A$9:A33))),"")</f>
        <v/>
      </c>
      <c r="C33" s="7">
        <f>IFERROR(T(VLOOKUP($A33,Players!$A:$E,2,FALSE)),"")</f>
        <v/>
      </c>
      <c r="D33" s="7">
        <f>IFERROR(T(VLOOKUP($A33,Players!$A:$E,3,FALSE)),"")</f>
        <v/>
      </c>
      <c r="E33" s="5">
        <f>IFERROR(T(VLOOKUP($A33,Players!$A:$E,4,FALSE)),"")</f>
        <v/>
      </c>
      <c r="F33" s="5">
        <f>IFERROR(T(VLOOKUP($A33,Players!$A:$E,5,FALSE)),"")</f>
        <v/>
      </c>
    </row>
    <row r="34">
      <c r="A34" s="8">
        <f t="array" ref="A34">IFERROR(INDEX(Auction!$A$5:$A$1000,SMALL(IF(Auction!$C$5:$C$1000=$A$1,ROW(Auction!$C$5:$C$1000)-ROW(Auction!$C$5)+1),ROWS($A$9:A34))),"")</f>
        <v/>
      </c>
      <c r="B34" s="9">
        <f t="array" ref="B34">IFERROR(INDEX(Auction!$B$5:$B$1000,SMALL(IF(Auction!$C$5:$C$1000=$A$1,ROW(Auction!$C$5:$C$1000)-ROW(Auction!$C$5)+1),ROWS($A$9:A34))),"")</f>
        <v/>
      </c>
      <c r="C34" s="10">
        <f>IFERROR(T(VLOOKUP($A34,Players!$A:$E,2,FALSE)),"")</f>
        <v/>
      </c>
      <c r="D34" s="10">
        <f>IFERROR(T(VLOOKUP($A34,Players!$A:$E,3,FALSE)),"")</f>
        <v/>
      </c>
      <c r="E34" s="8">
        <f>IFERROR(T(VLOOKUP($A34,Players!$A:$E,4,FALSE)),"")</f>
        <v/>
      </c>
      <c r="F34" s="8">
        <f>IFERROR(T(VLOOKUP($A34,Players!$A:$E,5,FALSE)),"")</f>
        <v/>
      </c>
    </row>
    <row r="35">
      <c r="A35" s="5">
        <f t="array" ref="A35">IFERROR(INDEX(Auction!$A$5:$A$1000,SMALL(IF(Auction!$C$5:$C$1000=$A$1,ROW(Auction!$C$5:$C$1000)-ROW(Auction!$C$5)+1),ROWS($A$9:A35))),"")</f>
        <v/>
      </c>
      <c r="B35" s="6">
        <f t="array" ref="B35">IFERROR(INDEX(Auction!$B$5:$B$1000,SMALL(IF(Auction!$C$5:$C$1000=$A$1,ROW(Auction!$C$5:$C$1000)-ROW(Auction!$C$5)+1),ROWS($A$9:A35))),"")</f>
        <v/>
      </c>
      <c r="C35" s="7">
        <f>IFERROR(T(VLOOKUP($A35,Players!$A:$E,2,FALSE)),"")</f>
        <v/>
      </c>
      <c r="D35" s="7">
        <f>IFERROR(T(VLOOKUP($A35,Players!$A:$E,3,FALSE)),"")</f>
        <v/>
      </c>
      <c r="E35" s="5">
        <f>IFERROR(T(VLOOKUP($A35,Players!$A:$E,4,FALSE)),"")</f>
        <v/>
      </c>
      <c r="F35" s="5">
        <f>IFERROR(T(VLOOKUP($A35,Players!$A:$E,5,FALSE)),"")</f>
        <v/>
      </c>
    </row>
    <row r="36">
      <c r="A36" s="8">
        <f t="array" ref="A36">IFERROR(INDEX(Auction!$A$5:$A$1000,SMALL(IF(Auction!$C$5:$C$1000=$A$1,ROW(Auction!$C$5:$C$1000)-ROW(Auction!$C$5)+1),ROWS($A$9:A36))),"")</f>
        <v/>
      </c>
      <c r="B36" s="9">
        <f t="array" ref="B36">IFERROR(INDEX(Auction!$B$5:$B$1000,SMALL(IF(Auction!$C$5:$C$1000=$A$1,ROW(Auction!$C$5:$C$1000)-ROW(Auction!$C$5)+1),ROWS($A$9:A36))),"")</f>
        <v/>
      </c>
      <c r="C36" s="10">
        <f>IFERROR(T(VLOOKUP($A36,Players!$A:$E,2,FALSE)),"")</f>
        <v/>
      </c>
      <c r="D36" s="10">
        <f>IFERROR(T(VLOOKUP($A36,Players!$A:$E,3,FALSE)),"")</f>
        <v/>
      </c>
      <c r="E36" s="8">
        <f>IFERROR(T(VLOOKUP($A36,Players!$A:$E,4,FALSE)),"")</f>
        <v/>
      </c>
      <c r="F36" s="8">
        <f>IFERROR(T(VLOOKUP($A36,Players!$A:$E,5,FALSE)),"")</f>
        <v/>
      </c>
    </row>
    <row r="37">
      <c r="A37" s="5">
        <f t="array" ref="A37">IFERROR(INDEX(Auction!$A$5:$A$1000,SMALL(IF(Auction!$C$5:$C$1000=$A$1,ROW(Auction!$C$5:$C$1000)-ROW(Auction!$C$5)+1),ROWS($A$9:A37))),"")</f>
        <v/>
      </c>
      <c r="B37" s="6">
        <f t="array" ref="B37">IFERROR(INDEX(Auction!$B$5:$B$1000,SMALL(IF(Auction!$C$5:$C$1000=$A$1,ROW(Auction!$C$5:$C$1000)-ROW(Auction!$C$5)+1),ROWS($A$9:A37))),"")</f>
        <v/>
      </c>
      <c r="C37" s="7">
        <f>IFERROR(T(VLOOKUP($A37,Players!$A:$E,2,FALSE)),"")</f>
        <v/>
      </c>
      <c r="D37" s="7">
        <f>IFERROR(T(VLOOKUP($A37,Players!$A:$E,3,FALSE)),"")</f>
        <v/>
      </c>
      <c r="E37" s="5">
        <f>IFERROR(T(VLOOKUP($A37,Players!$A:$E,4,FALSE)),"")</f>
        <v/>
      </c>
      <c r="F37" s="5">
        <f>IFERROR(T(VLOOKUP($A37,Players!$A:$E,5,FALSE)),"")</f>
        <v/>
      </c>
    </row>
    <row r="38">
      <c r="A38" s="8">
        <f t="array" ref="A38">IFERROR(INDEX(Auction!$A$5:$A$1000,SMALL(IF(Auction!$C$5:$C$1000=$A$1,ROW(Auction!$C$5:$C$1000)-ROW(Auction!$C$5)+1),ROWS($A$9:A38))),"")</f>
        <v/>
      </c>
      <c r="B38" s="9">
        <f t="array" ref="B38">IFERROR(INDEX(Auction!$B$5:$B$1000,SMALL(IF(Auction!$C$5:$C$1000=$A$1,ROW(Auction!$C$5:$C$1000)-ROW(Auction!$C$5)+1),ROWS($A$9:A38))),"")</f>
        <v/>
      </c>
      <c r="C38" s="10">
        <f>IFERROR(T(VLOOKUP($A38,Players!$A:$E,2,FALSE)),"")</f>
        <v/>
      </c>
      <c r="D38" s="10">
        <f>IFERROR(T(VLOOKUP($A38,Players!$A:$E,3,FALSE)),"")</f>
        <v/>
      </c>
      <c r="E38" s="8">
        <f>IFERROR(T(VLOOKUP($A38,Players!$A:$E,4,FALSE)),"")</f>
        <v/>
      </c>
      <c r="F38" s="8">
        <f>IFERROR(T(VLOOKUP($A38,Players!$A:$E,5,FALSE)),"")</f>
        <v/>
      </c>
    </row>
    <row r="39">
      <c r="A39" s="5">
        <f t="array" ref="A39">IFERROR(INDEX(Auction!$A$5:$A$1000,SMALL(IF(Auction!$C$5:$C$1000=$A$1,ROW(Auction!$C$5:$C$1000)-ROW(Auction!$C$5)+1),ROWS($A$9:A39))),"")</f>
        <v/>
      </c>
      <c r="B39" s="6">
        <f t="array" ref="B39">IFERROR(INDEX(Auction!$B$5:$B$1000,SMALL(IF(Auction!$C$5:$C$1000=$A$1,ROW(Auction!$C$5:$C$1000)-ROW(Auction!$C$5)+1),ROWS($A$9:A39))),"")</f>
        <v/>
      </c>
      <c r="C39" s="7">
        <f>IFERROR(T(VLOOKUP($A39,Players!$A:$E,2,FALSE)),"")</f>
        <v/>
      </c>
      <c r="D39" s="7">
        <f>IFERROR(T(VLOOKUP($A39,Players!$A:$E,3,FALSE)),"")</f>
        <v/>
      </c>
      <c r="E39" s="5">
        <f>IFERROR(T(VLOOKUP($A39,Players!$A:$E,4,FALSE)),"")</f>
        <v/>
      </c>
      <c r="F39" s="5">
        <f>IFERROR(T(VLOOKUP($A39,Players!$A:$E,5,FALSE)),"")</f>
        <v/>
      </c>
    </row>
    <row r="40">
      <c r="A40" s="8">
        <f t="array" ref="A40">IFERROR(INDEX(Auction!$A$5:$A$1000,SMALL(IF(Auction!$C$5:$C$1000=$A$1,ROW(Auction!$C$5:$C$1000)-ROW(Auction!$C$5)+1),ROWS($A$9:A40))),"")</f>
        <v/>
      </c>
      <c r="B40" s="9">
        <f t="array" ref="B40">IFERROR(INDEX(Auction!$B$5:$B$1000,SMALL(IF(Auction!$C$5:$C$1000=$A$1,ROW(Auction!$C$5:$C$1000)-ROW(Auction!$C$5)+1),ROWS($A$9:A40))),"")</f>
        <v/>
      </c>
      <c r="C40" s="10">
        <f>IFERROR(T(VLOOKUP($A40,Players!$A:$E,2,FALSE)),"")</f>
        <v/>
      </c>
      <c r="D40" s="10">
        <f>IFERROR(T(VLOOKUP($A40,Players!$A:$E,3,FALSE)),"")</f>
        <v/>
      </c>
      <c r="E40" s="8">
        <f>IFERROR(T(VLOOKUP($A40,Players!$A:$E,4,FALSE)),"")</f>
        <v/>
      </c>
      <c r="F40" s="8">
        <f>IFERROR(T(VLOOKUP($A40,Players!$A:$E,5,FALSE)),"")</f>
        <v/>
      </c>
    </row>
    <row r="41">
      <c r="A41" s="5">
        <f t="array" ref="A41">IFERROR(INDEX(Auction!$A$5:$A$1000,SMALL(IF(Auction!$C$5:$C$1000=$A$1,ROW(Auction!$C$5:$C$1000)-ROW(Auction!$C$5)+1),ROWS($A$9:A41))),"")</f>
        <v/>
      </c>
      <c r="B41" s="6">
        <f t="array" ref="B41">IFERROR(INDEX(Auction!$B$5:$B$1000,SMALL(IF(Auction!$C$5:$C$1000=$A$1,ROW(Auction!$C$5:$C$1000)-ROW(Auction!$C$5)+1),ROWS($A$9:A41))),"")</f>
        <v/>
      </c>
      <c r="C41" s="7">
        <f>IFERROR(T(VLOOKUP($A41,Players!$A:$E,2,FALSE)),"")</f>
        <v/>
      </c>
      <c r="D41" s="7">
        <f>IFERROR(T(VLOOKUP($A41,Players!$A:$E,3,FALSE)),"")</f>
        <v/>
      </c>
      <c r="E41" s="5">
        <f>IFERROR(T(VLOOKUP($A41,Players!$A:$E,4,FALSE)),"")</f>
        <v/>
      </c>
      <c r="F41" s="5">
        <f>IFERROR(T(VLOOKUP($A41,Players!$A:$E,5,FALSE)),"")</f>
        <v/>
      </c>
    </row>
    <row r="42">
      <c r="A42" s="8">
        <f t="array" ref="A42">IFERROR(INDEX(Auction!$A$5:$A$1000,SMALL(IF(Auction!$C$5:$C$1000=$A$1,ROW(Auction!$C$5:$C$1000)-ROW(Auction!$C$5)+1),ROWS($A$9:A42))),"")</f>
        <v/>
      </c>
      <c r="B42" s="9">
        <f t="array" ref="B42">IFERROR(INDEX(Auction!$B$5:$B$1000,SMALL(IF(Auction!$C$5:$C$1000=$A$1,ROW(Auction!$C$5:$C$1000)-ROW(Auction!$C$5)+1),ROWS($A$9:A42))),"")</f>
        <v/>
      </c>
      <c r="C42" s="10">
        <f>IFERROR(T(VLOOKUP($A42,Players!$A:$E,2,FALSE)),"")</f>
        <v/>
      </c>
      <c r="D42" s="10">
        <f>IFERROR(T(VLOOKUP($A42,Players!$A:$E,3,FALSE)),"")</f>
        <v/>
      </c>
      <c r="E42" s="8">
        <f>IFERROR(T(VLOOKUP($A42,Players!$A:$E,4,FALSE)),"")</f>
        <v/>
      </c>
      <c r="F42" s="8">
        <f>IFERROR(T(VLOOKUP($A42,Players!$A:$E,5,FALSE)),"")</f>
        <v/>
      </c>
    </row>
    <row r="43">
      <c r="A43" s="5">
        <f t="array" ref="A43">IFERROR(INDEX(Auction!$A$5:$A$1000,SMALL(IF(Auction!$C$5:$C$1000=$A$1,ROW(Auction!$C$5:$C$1000)-ROW(Auction!$C$5)+1),ROWS($A$9:A43))),"")</f>
        <v/>
      </c>
      <c r="B43" s="6">
        <f t="array" ref="B43">IFERROR(INDEX(Auction!$B$5:$B$1000,SMALL(IF(Auction!$C$5:$C$1000=$A$1,ROW(Auction!$C$5:$C$1000)-ROW(Auction!$C$5)+1),ROWS($A$9:A43))),"")</f>
        <v/>
      </c>
      <c r="C43" s="7">
        <f>IFERROR(T(VLOOKUP($A43,Players!$A:$E,2,FALSE)),"")</f>
        <v/>
      </c>
      <c r="D43" s="7">
        <f>IFERROR(T(VLOOKUP($A43,Players!$A:$E,3,FALSE)),"")</f>
        <v/>
      </c>
      <c r="E43" s="5">
        <f>IFERROR(T(VLOOKUP($A43,Players!$A:$E,4,FALSE)),"")</f>
        <v/>
      </c>
      <c r="F43" s="5">
        <f>IFERROR(T(VLOOKUP($A43,Players!$A:$E,5,FALSE)),"")</f>
        <v/>
      </c>
    </row>
    <row r="44">
      <c r="A44" s="8">
        <f t="array" ref="A44">IFERROR(INDEX(Auction!$A$5:$A$1000,SMALL(IF(Auction!$C$5:$C$1000=$A$1,ROW(Auction!$C$5:$C$1000)-ROW(Auction!$C$5)+1),ROWS($A$9:A44))),"")</f>
        <v/>
      </c>
      <c r="B44" s="9">
        <f t="array" ref="B44">IFERROR(INDEX(Auction!$B$5:$B$1000,SMALL(IF(Auction!$C$5:$C$1000=$A$1,ROW(Auction!$C$5:$C$1000)-ROW(Auction!$C$5)+1),ROWS($A$9:A44))),"")</f>
        <v/>
      </c>
      <c r="C44" s="10">
        <f>IFERROR(T(VLOOKUP($A44,Players!$A:$E,2,FALSE)),"")</f>
        <v/>
      </c>
      <c r="D44" s="10">
        <f>IFERROR(T(VLOOKUP($A44,Players!$A:$E,3,FALSE)),"")</f>
        <v/>
      </c>
      <c r="E44" s="8">
        <f>IFERROR(T(VLOOKUP($A44,Players!$A:$E,4,FALSE)),"")</f>
        <v/>
      </c>
      <c r="F44" s="8">
        <f>IFERROR(T(VLOOKUP($A44,Players!$A:$E,5,FALSE)),"")</f>
        <v/>
      </c>
    </row>
    <row r="45">
      <c r="A45" s="5">
        <f t="array" ref="A45">IFERROR(INDEX(Auction!$A$5:$A$1000,SMALL(IF(Auction!$C$5:$C$1000=$A$1,ROW(Auction!$C$5:$C$1000)-ROW(Auction!$C$5)+1),ROWS($A$9:A45))),"")</f>
        <v/>
      </c>
      <c r="B45" s="6">
        <f t="array" ref="B45">IFERROR(INDEX(Auction!$B$5:$B$1000,SMALL(IF(Auction!$C$5:$C$1000=$A$1,ROW(Auction!$C$5:$C$1000)-ROW(Auction!$C$5)+1),ROWS($A$9:A45))),"")</f>
        <v/>
      </c>
      <c r="C45" s="7">
        <f>IFERROR(T(VLOOKUP($A45,Players!$A:$E,2,FALSE)),"")</f>
        <v/>
      </c>
      <c r="D45" s="7">
        <f>IFERROR(T(VLOOKUP($A45,Players!$A:$E,3,FALSE)),"")</f>
        <v/>
      </c>
      <c r="E45" s="5">
        <f>IFERROR(T(VLOOKUP($A45,Players!$A:$E,4,FALSE)),"")</f>
        <v/>
      </c>
      <c r="F45" s="5">
        <f>IFERROR(T(VLOOKUP($A45,Players!$A:$E,5,FALSE)),"")</f>
        <v/>
      </c>
    </row>
    <row r="46">
      <c r="A46" s="8">
        <f t="array" ref="A46">IFERROR(INDEX(Auction!$A$5:$A$1000,SMALL(IF(Auction!$C$5:$C$1000=$A$1,ROW(Auction!$C$5:$C$1000)-ROW(Auction!$C$5)+1),ROWS($A$9:A46))),"")</f>
        <v/>
      </c>
      <c r="B46" s="9">
        <f t="array" ref="B46">IFERROR(INDEX(Auction!$B$5:$B$1000,SMALL(IF(Auction!$C$5:$C$1000=$A$1,ROW(Auction!$C$5:$C$1000)-ROW(Auction!$C$5)+1),ROWS($A$9:A46))),"")</f>
        <v/>
      </c>
      <c r="C46" s="10">
        <f>IFERROR(T(VLOOKUP($A46,Players!$A:$E,2,FALSE)),"")</f>
        <v/>
      </c>
      <c r="D46" s="10">
        <f>IFERROR(T(VLOOKUP($A46,Players!$A:$E,3,FALSE)),"")</f>
        <v/>
      </c>
      <c r="E46" s="8">
        <f>IFERROR(T(VLOOKUP($A46,Players!$A:$E,4,FALSE)),"")</f>
        <v/>
      </c>
      <c r="F46" s="8">
        <f>IFERROR(T(VLOOKUP($A46,Players!$A:$E,5,FALSE)),"")</f>
        <v/>
      </c>
    </row>
    <row r="47">
      <c r="A47" s="5">
        <f t="array" ref="A47">IFERROR(INDEX(Auction!$A$5:$A$1000,SMALL(IF(Auction!$C$5:$C$1000=$A$1,ROW(Auction!$C$5:$C$1000)-ROW(Auction!$C$5)+1),ROWS($A$9:A47))),"")</f>
        <v/>
      </c>
      <c r="B47" s="6">
        <f t="array" ref="B47">IFERROR(INDEX(Auction!$B$5:$B$1000,SMALL(IF(Auction!$C$5:$C$1000=$A$1,ROW(Auction!$C$5:$C$1000)-ROW(Auction!$C$5)+1),ROWS($A$9:A47))),"")</f>
        <v/>
      </c>
      <c r="C47" s="7">
        <f>IFERROR(T(VLOOKUP($A47,Players!$A:$E,2,FALSE)),"")</f>
        <v/>
      </c>
      <c r="D47" s="7">
        <f>IFERROR(T(VLOOKUP($A47,Players!$A:$E,3,FALSE)),"")</f>
        <v/>
      </c>
      <c r="E47" s="5">
        <f>IFERROR(T(VLOOKUP($A47,Players!$A:$E,4,FALSE)),"")</f>
        <v/>
      </c>
      <c r="F47" s="5">
        <f>IFERROR(T(VLOOKUP($A47,Players!$A:$E,5,FALSE)),"")</f>
        <v/>
      </c>
    </row>
    <row r="48">
      <c r="A48" s="8">
        <f t="array" ref="A48">IFERROR(INDEX(Auction!$A$5:$A$1000,SMALL(IF(Auction!$C$5:$C$1000=$A$1,ROW(Auction!$C$5:$C$1000)-ROW(Auction!$C$5)+1),ROWS($A$9:A48))),"")</f>
        <v/>
      </c>
      <c r="B48" s="9">
        <f t="array" ref="B48">IFERROR(INDEX(Auction!$B$5:$B$1000,SMALL(IF(Auction!$C$5:$C$1000=$A$1,ROW(Auction!$C$5:$C$1000)-ROW(Auction!$C$5)+1),ROWS($A$9:A48))),"")</f>
        <v/>
      </c>
      <c r="C48" s="10">
        <f>IFERROR(T(VLOOKUP($A48,Players!$A:$E,2,FALSE)),"")</f>
        <v/>
      </c>
      <c r="D48" s="10">
        <f>IFERROR(T(VLOOKUP($A48,Players!$A:$E,3,FALSE)),"")</f>
        <v/>
      </c>
      <c r="E48" s="8">
        <f>IFERROR(T(VLOOKUP($A48,Players!$A:$E,4,FALSE)),"")</f>
        <v/>
      </c>
      <c r="F48" s="8">
        <f>IFERROR(T(VLOOKUP($A48,Players!$A:$E,5,FALSE)),"")</f>
        <v/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E5E8C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8" customWidth="1" min="4" max="4"/>
    <col width="14" customWidth="1" min="5" max="5"/>
    <col width="15" customWidth="1" min="6" max="6"/>
  </cols>
  <sheetData>
    <row r="1" ht="28" customHeight="1">
      <c r="A1" s="22">
        <f>Balance!A17</f>
        <v/>
      </c>
    </row>
    <row r="3">
      <c r="A3" s="23" t="inlineStr">
        <is>
          <t>Purse (Cr)</t>
        </is>
      </c>
      <c r="B3" s="24">
        <f>Balance!B17</f>
        <v/>
      </c>
    </row>
    <row r="4">
      <c r="A4" s="23" t="inlineStr">
        <is>
          <t>Spent (Cr)</t>
        </is>
      </c>
      <c r="B4" s="24">
        <f>Balance!C17</f>
        <v/>
      </c>
    </row>
    <row r="5">
      <c r="A5" s="25" t="inlineStr">
        <is>
          <t>Balance (Cr)</t>
        </is>
      </c>
      <c r="B5" s="26">
        <f>Balance!D17</f>
        <v/>
      </c>
    </row>
    <row r="6">
      <c r="A6" s="27" t="inlineStr">
        <is>
          <t>Players</t>
        </is>
      </c>
      <c r="B6" s="28">
        <f>Balance!E17</f>
        <v/>
      </c>
    </row>
    <row r="8">
      <c r="A8" s="3" t="inlineStr">
        <is>
          <t>Player</t>
        </is>
      </c>
      <c r="B8" s="3" t="inlineStr">
        <is>
          <t>Price (Cr)</t>
        </is>
      </c>
      <c r="C8" s="3" t="inlineStr">
        <is>
          <t>Role</t>
        </is>
      </c>
      <c r="D8" s="3" t="inlineStr">
        <is>
          <t>Hand</t>
        </is>
      </c>
      <c r="E8" s="3" t="inlineStr">
        <is>
          <t>Country</t>
        </is>
      </c>
      <c r="F8" s="3" t="inlineStr">
        <is>
          <t>City</t>
        </is>
      </c>
    </row>
    <row r="9">
      <c r="A9" s="5">
        <f t="array" ref="A9">IFERROR(INDEX(Auction!$A$5:$A$1000,SMALL(IF(Auction!$C$5:$C$1000=$A$1,ROW(Auction!$C$5:$C$1000)-ROW(Auction!$C$5)+1),ROWS($A$9:A9))),"")</f>
        <v/>
      </c>
      <c r="B9" s="6">
        <f t="array" ref="B9">IFERROR(INDEX(Auction!$B$5:$B$1000,SMALL(IF(Auction!$C$5:$C$1000=$A$1,ROW(Auction!$C$5:$C$1000)-ROW(Auction!$C$5)+1),ROWS($A$9:A9))),"")</f>
        <v/>
      </c>
      <c r="C9" s="7">
        <f>IFERROR(T(VLOOKUP($A9,Players!$A:$E,2,FALSE)),"")</f>
        <v/>
      </c>
      <c r="D9" s="7">
        <f>IFERROR(T(VLOOKUP($A9,Players!$A:$E,3,FALSE)),"")</f>
        <v/>
      </c>
      <c r="E9" s="5">
        <f>IFERROR(T(VLOOKUP($A9,Players!$A:$E,4,FALSE)),"")</f>
        <v/>
      </c>
      <c r="F9" s="5">
        <f>IFERROR(T(VLOOKUP($A9,Players!$A:$E,5,FALSE)),"")</f>
        <v/>
      </c>
    </row>
    <row r="10">
      <c r="A10" s="8">
        <f t="array" ref="A10">IFERROR(INDEX(Auction!$A$5:$A$1000,SMALL(IF(Auction!$C$5:$C$1000=$A$1,ROW(Auction!$C$5:$C$1000)-ROW(Auction!$C$5)+1),ROWS($A$9:A10))),"")</f>
        <v/>
      </c>
      <c r="B10" s="9">
        <f t="array" ref="B10">IFERROR(INDEX(Auction!$B$5:$B$1000,SMALL(IF(Auction!$C$5:$C$1000=$A$1,ROW(Auction!$C$5:$C$1000)-ROW(Auction!$C$5)+1),ROWS($A$9:A10))),"")</f>
        <v/>
      </c>
      <c r="C10" s="10">
        <f>IFERROR(T(VLOOKUP($A10,Players!$A:$E,2,FALSE)),"")</f>
        <v/>
      </c>
      <c r="D10" s="10">
        <f>IFERROR(T(VLOOKUP($A10,Players!$A:$E,3,FALSE)),"")</f>
        <v/>
      </c>
      <c r="E10" s="8">
        <f>IFERROR(T(VLOOKUP($A10,Players!$A:$E,4,FALSE)),"")</f>
        <v/>
      </c>
      <c r="F10" s="8">
        <f>IFERROR(T(VLOOKUP($A10,Players!$A:$E,5,FALSE)),"")</f>
        <v/>
      </c>
    </row>
    <row r="11">
      <c r="A11" s="5">
        <f t="array" ref="A11">IFERROR(INDEX(Auction!$A$5:$A$1000,SMALL(IF(Auction!$C$5:$C$1000=$A$1,ROW(Auction!$C$5:$C$1000)-ROW(Auction!$C$5)+1),ROWS($A$9:A11))),"")</f>
        <v/>
      </c>
      <c r="B11" s="6">
        <f t="array" ref="B11">IFERROR(INDEX(Auction!$B$5:$B$1000,SMALL(IF(Auction!$C$5:$C$1000=$A$1,ROW(Auction!$C$5:$C$1000)-ROW(Auction!$C$5)+1),ROWS($A$9:A11))),"")</f>
        <v/>
      </c>
      <c r="C11" s="7">
        <f>IFERROR(T(VLOOKUP($A11,Players!$A:$E,2,FALSE)),"")</f>
        <v/>
      </c>
      <c r="D11" s="7">
        <f>IFERROR(T(VLOOKUP($A11,Players!$A:$E,3,FALSE)),"")</f>
        <v/>
      </c>
      <c r="E11" s="5">
        <f>IFERROR(T(VLOOKUP($A11,Players!$A:$E,4,FALSE)),"")</f>
        <v/>
      </c>
      <c r="F11" s="5">
        <f>IFERROR(T(VLOOKUP($A11,Players!$A:$E,5,FALSE)),"")</f>
        <v/>
      </c>
    </row>
    <row r="12">
      <c r="A12" s="8">
        <f t="array" ref="A12">IFERROR(INDEX(Auction!$A$5:$A$1000,SMALL(IF(Auction!$C$5:$C$1000=$A$1,ROW(Auction!$C$5:$C$1000)-ROW(Auction!$C$5)+1),ROWS($A$9:A12))),"")</f>
        <v/>
      </c>
      <c r="B12" s="9">
        <f t="array" ref="B12">IFERROR(INDEX(Auction!$B$5:$B$1000,SMALL(IF(Auction!$C$5:$C$1000=$A$1,ROW(Auction!$C$5:$C$1000)-ROW(Auction!$C$5)+1),ROWS($A$9:A12))),"")</f>
        <v/>
      </c>
      <c r="C12" s="10">
        <f>IFERROR(T(VLOOKUP($A12,Players!$A:$E,2,FALSE)),"")</f>
        <v/>
      </c>
      <c r="D12" s="10">
        <f>IFERROR(T(VLOOKUP($A12,Players!$A:$E,3,FALSE)),"")</f>
        <v/>
      </c>
      <c r="E12" s="8">
        <f>IFERROR(T(VLOOKUP($A12,Players!$A:$E,4,FALSE)),"")</f>
        <v/>
      </c>
      <c r="F12" s="8">
        <f>IFERROR(T(VLOOKUP($A12,Players!$A:$E,5,FALSE)),"")</f>
        <v/>
      </c>
    </row>
    <row r="13">
      <c r="A13" s="5">
        <f t="array" ref="A13">IFERROR(INDEX(Auction!$A$5:$A$1000,SMALL(IF(Auction!$C$5:$C$1000=$A$1,ROW(Auction!$C$5:$C$1000)-ROW(Auction!$C$5)+1),ROWS($A$9:A13))),"")</f>
        <v/>
      </c>
      <c r="B13" s="6">
        <f t="array" ref="B13">IFERROR(INDEX(Auction!$B$5:$B$1000,SMALL(IF(Auction!$C$5:$C$1000=$A$1,ROW(Auction!$C$5:$C$1000)-ROW(Auction!$C$5)+1),ROWS($A$9:A13))),"")</f>
        <v/>
      </c>
      <c r="C13" s="7">
        <f>IFERROR(T(VLOOKUP($A13,Players!$A:$E,2,FALSE)),"")</f>
        <v/>
      </c>
      <c r="D13" s="7">
        <f>IFERROR(T(VLOOKUP($A13,Players!$A:$E,3,FALSE)),"")</f>
        <v/>
      </c>
      <c r="E13" s="5">
        <f>IFERROR(T(VLOOKUP($A13,Players!$A:$E,4,FALSE)),"")</f>
        <v/>
      </c>
      <c r="F13" s="5">
        <f>IFERROR(T(VLOOKUP($A13,Players!$A:$E,5,FALSE)),"")</f>
        <v/>
      </c>
    </row>
    <row r="14">
      <c r="A14" s="8">
        <f t="array" ref="A14">IFERROR(INDEX(Auction!$A$5:$A$1000,SMALL(IF(Auction!$C$5:$C$1000=$A$1,ROW(Auction!$C$5:$C$1000)-ROW(Auction!$C$5)+1),ROWS($A$9:A14))),"")</f>
        <v/>
      </c>
      <c r="B14" s="9">
        <f t="array" ref="B14">IFERROR(INDEX(Auction!$B$5:$B$1000,SMALL(IF(Auction!$C$5:$C$1000=$A$1,ROW(Auction!$C$5:$C$1000)-ROW(Auction!$C$5)+1),ROWS($A$9:A14))),"")</f>
        <v/>
      </c>
      <c r="C14" s="10">
        <f>IFERROR(T(VLOOKUP($A14,Players!$A:$E,2,FALSE)),"")</f>
        <v/>
      </c>
      <c r="D14" s="10">
        <f>IFERROR(T(VLOOKUP($A14,Players!$A:$E,3,FALSE)),"")</f>
        <v/>
      </c>
      <c r="E14" s="8">
        <f>IFERROR(T(VLOOKUP($A14,Players!$A:$E,4,FALSE)),"")</f>
        <v/>
      </c>
      <c r="F14" s="8">
        <f>IFERROR(T(VLOOKUP($A14,Players!$A:$E,5,FALSE)),"")</f>
        <v/>
      </c>
    </row>
    <row r="15">
      <c r="A15" s="5">
        <f t="array" ref="A15">IFERROR(INDEX(Auction!$A$5:$A$1000,SMALL(IF(Auction!$C$5:$C$1000=$A$1,ROW(Auction!$C$5:$C$1000)-ROW(Auction!$C$5)+1),ROWS($A$9:A15))),"")</f>
        <v/>
      </c>
      <c r="B15" s="6">
        <f t="array" ref="B15">IFERROR(INDEX(Auction!$B$5:$B$1000,SMALL(IF(Auction!$C$5:$C$1000=$A$1,ROW(Auction!$C$5:$C$1000)-ROW(Auction!$C$5)+1),ROWS($A$9:A15))),"")</f>
        <v/>
      </c>
      <c r="C15" s="7">
        <f>IFERROR(T(VLOOKUP($A15,Players!$A:$E,2,FALSE)),"")</f>
        <v/>
      </c>
      <c r="D15" s="7">
        <f>IFERROR(T(VLOOKUP($A15,Players!$A:$E,3,FALSE)),"")</f>
        <v/>
      </c>
      <c r="E15" s="5">
        <f>IFERROR(T(VLOOKUP($A15,Players!$A:$E,4,FALSE)),"")</f>
        <v/>
      </c>
      <c r="F15" s="5">
        <f>IFERROR(T(VLOOKUP($A15,Players!$A:$E,5,FALSE)),"")</f>
        <v/>
      </c>
    </row>
    <row r="16">
      <c r="A16" s="8">
        <f t="array" ref="A16">IFERROR(INDEX(Auction!$A$5:$A$1000,SMALL(IF(Auction!$C$5:$C$1000=$A$1,ROW(Auction!$C$5:$C$1000)-ROW(Auction!$C$5)+1),ROWS($A$9:A16))),"")</f>
        <v/>
      </c>
      <c r="B16" s="9">
        <f t="array" ref="B16">IFERROR(INDEX(Auction!$B$5:$B$1000,SMALL(IF(Auction!$C$5:$C$1000=$A$1,ROW(Auction!$C$5:$C$1000)-ROW(Auction!$C$5)+1),ROWS($A$9:A16))),"")</f>
        <v/>
      </c>
      <c r="C16" s="10">
        <f>IFERROR(T(VLOOKUP($A16,Players!$A:$E,2,FALSE)),"")</f>
        <v/>
      </c>
      <c r="D16" s="10">
        <f>IFERROR(T(VLOOKUP($A16,Players!$A:$E,3,FALSE)),"")</f>
        <v/>
      </c>
      <c r="E16" s="8">
        <f>IFERROR(T(VLOOKUP($A16,Players!$A:$E,4,FALSE)),"")</f>
        <v/>
      </c>
      <c r="F16" s="8">
        <f>IFERROR(T(VLOOKUP($A16,Players!$A:$E,5,FALSE)),"")</f>
        <v/>
      </c>
    </row>
    <row r="17">
      <c r="A17" s="5">
        <f t="array" ref="A17">IFERROR(INDEX(Auction!$A$5:$A$1000,SMALL(IF(Auction!$C$5:$C$1000=$A$1,ROW(Auction!$C$5:$C$1000)-ROW(Auction!$C$5)+1),ROWS($A$9:A17))),"")</f>
        <v/>
      </c>
      <c r="B17" s="6">
        <f t="array" ref="B17">IFERROR(INDEX(Auction!$B$5:$B$1000,SMALL(IF(Auction!$C$5:$C$1000=$A$1,ROW(Auction!$C$5:$C$1000)-ROW(Auction!$C$5)+1),ROWS($A$9:A17))),"")</f>
        <v/>
      </c>
      <c r="C17" s="7">
        <f>IFERROR(T(VLOOKUP($A17,Players!$A:$E,2,FALSE)),"")</f>
        <v/>
      </c>
      <c r="D17" s="7">
        <f>IFERROR(T(VLOOKUP($A17,Players!$A:$E,3,FALSE)),"")</f>
        <v/>
      </c>
      <c r="E17" s="5">
        <f>IFERROR(T(VLOOKUP($A17,Players!$A:$E,4,FALSE)),"")</f>
        <v/>
      </c>
      <c r="F17" s="5">
        <f>IFERROR(T(VLOOKUP($A17,Players!$A:$E,5,FALSE)),"")</f>
        <v/>
      </c>
    </row>
    <row r="18">
      <c r="A18" s="8">
        <f t="array" ref="A18">IFERROR(INDEX(Auction!$A$5:$A$1000,SMALL(IF(Auction!$C$5:$C$1000=$A$1,ROW(Auction!$C$5:$C$1000)-ROW(Auction!$C$5)+1),ROWS($A$9:A18))),"")</f>
        <v/>
      </c>
      <c r="B18" s="9">
        <f t="array" ref="B18">IFERROR(INDEX(Auction!$B$5:$B$1000,SMALL(IF(Auction!$C$5:$C$1000=$A$1,ROW(Auction!$C$5:$C$1000)-ROW(Auction!$C$5)+1),ROWS($A$9:A18))),"")</f>
        <v/>
      </c>
      <c r="C18" s="10">
        <f>IFERROR(T(VLOOKUP($A18,Players!$A:$E,2,FALSE)),"")</f>
        <v/>
      </c>
      <c r="D18" s="10">
        <f>IFERROR(T(VLOOKUP($A18,Players!$A:$E,3,FALSE)),"")</f>
        <v/>
      </c>
      <c r="E18" s="8">
        <f>IFERROR(T(VLOOKUP($A18,Players!$A:$E,4,FALSE)),"")</f>
        <v/>
      </c>
      <c r="F18" s="8">
        <f>IFERROR(T(VLOOKUP($A18,Players!$A:$E,5,FALSE)),"")</f>
        <v/>
      </c>
    </row>
    <row r="19">
      <c r="A19" s="5">
        <f t="array" ref="A19">IFERROR(INDEX(Auction!$A$5:$A$1000,SMALL(IF(Auction!$C$5:$C$1000=$A$1,ROW(Auction!$C$5:$C$1000)-ROW(Auction!$C$5)+1),ROWS($A$9:A19))),"")</f>
        <v/>
      </c>
      <c r="B19" s="6">
        <f t="array" ref="B19">IFERROR(INDEX(Auction!$B$5:$B$1000,SMALL(IF(Auction!$C$5:$C$1000=$A$1,ROW(Auction!$C$5:$C$1000)-ROW(Auction!$C$5)+1),ROWS($A$9:A19))),"")</f>
        <v/>
      </c>
      <c r="C19" s="7">
        <f>IFERROR(T(VLOOKUP($A19,Players!$A:$E,2,FALSE)),"")</f>
        <v/>
      </c>
      <c r="D19" s="7">
        <f>IFERROR(T(VLOOKUP($A19,Players!$A:$E,3,FALSE)),"")</f>
        <v/>
      </c>
      <c r="E19" s="5">
        <f>IFERROR(T(VLOOKUP($A19,Players!$A:$E,4,FALSE)),"")</f>
        <v/>
      </c>
      <c r="F19" s="5">
        <f>IFERROR(T(VLOOKUP($A19,Players!$A:$E,5,FALSE)),"")</f>
        <v/>
      </c>
    </row>
    <row r="20">
      <c r="A20" s="8">
        <f t="array" ref="A20">IFERROR(INDEX(Auction!$A$5:$A$1000,SMALL(IF(Auction!$C$5:$C$1000=$A$1,ROW(Auction!$C$5:$C$1000)-ROW(Auction!$C$5)+1),ROWS($A$9:A20))),"")</f>
        <v/>
      </c>
      <c r="B20" s="9">
        <f t="array" ref="B20">IFERROR(INDEX(Auction!$B$5:$B$1000,SMALL(IF(Auction!$C$5:$C$1000=$A$1,ROW(Auction!$C$5:$C$1000)-ROW(Auction!$C$5)+1),ROWS($A$9:A20))),"")</f>
        <v/>
      </c>
      <c r="C20" s="10">
        <f>IFERROR(T(VLOOKUP($A20,Players!$A:$E,2,FALSE)),"")</f>
        <v/>
      </c>
      <c r="D20" s="10">
        <f>IFERROR(T(VLOOKUP($A20,Players!$A:$E,3,FALSE)),"")</f>
        <v/>
      </c>
      <c r="E20" s="8">
        <f>IFERROR(T(VLOOKUP($A20,Players!$A:$E,4,FALSE)),"")</f>
        <v/>
      </c>
      <c r="F20" s="8">
        <f>IFERROR(T(VLOOKUP($A20,Players!$A:$E,5,FALSE)),"")</f>
        <v/>
      </c>
    </row>
    <row r="21">
      <c r="A21" s="5">
        <f t="array" ref="A21">IFERROR(INDEX(Auction!$A$5:$A$1000,SMALL(IF(Auction!$C$5:$C$1000=$A$1,ROW(Auction!$C$5:$C$1000)-ROW(Auction!$C$5)+1),ROWS($A$9:A21))),"")</f>
        <v/>
      </c>
      <c r="B21" s="6">
        <f t="array" ref="B21">IFERROR(INDEX(Auction!$B$5:$B$1000,SMALL(IF(Auction!$C$5:$C$1000=$A$1,ROW(Auction!$C$5:$C$1000)-ROW(Auction!$C$5)+1),ROWS($A$9:A21))),"")</f>
        <v/>
      </c>
      <c r="C21" s="7">
        <f>IFERROR(T(VLOOKUP($A21,Players!$A:$E,2,FALSE)),"")</f>
        <v/>
      </c>
      <c r="D21" s="7">
        <f>IFERROR(T(VLOOKUP($A21,Players!$A:$E,3,FALSE)),"")</f>
        <v/>
      </c>
      <c r="E21" s="5">
        <f>IFERROR(T(VLOOKUP($A21,Players!$A:$E,4,FALSE)),"")</f>
        <v/>
      </c>
      <c r="F21" s="5">
        <f>IFERROR(T(VLOOKUP($A21,Players!$A:$E,5,FALSE)),"")</f>
        <v/>
      </c>
    </row>
    <row r="22">
      <c r="A22" s="8">
        <f t="array" ref="A22">IFERROR(INDEX(Auction!$A$5:$A$1000,SMALL(IF(Auction!$C$5:$C$1000=$A$1,ROW(Auction!$C$5:$C$1000)-ROW(Auction!$C$5)+1),ROWS($A$9:A22))),"")</f>
        <v/>
      </c>
      <c r="B22" s="9">
        <f t="array" ref="B22">IFERROR(INDEX(Auction!$B$5:$B$1000,SMALL(IF(Auction!$C$5:$C$1000=$A$1,ROW(Auction!$C$5:$C$1000)-ROW(Auction!$C$5)+1),ROWS($A$9:A22))),"")</f>
        <v/>
      </c>
      <c r="C22" s="10">
        <f>IFERROR(T(VLOOKUP($A22,Players!$A:$E,2,FALSE)),"")</f>
        <v/>
      </c>
      <c r="D22" s="10">
        <f>IFERROR(T(VLOOKUP($A22,Players!$A:$E,3,FALSE)),"")</f>
        <v/>
      </c>
      <c r="E22" s="8">
        <f>IFERROR(T(VLOOKUP($A22,Players!$A:$E,4,FALSE)),"")</f>
        <v/>
      </c>
      <c r="F22" s="8">
        <f>IFERROR(T(VLOOKUP($A22,Players!$A:$E,5,FALSE)),"")</f>
        <v/>
      </c>
    </row>
    <row r="23">
      <c r="A23" s="5">
        <f t="array" ref="A23">IFERROR(INDEX(Auction!$A$5:$A$1000,SMALL(IF(Auction!$C$5:$C$1000=$A$1,ROW(Auction!$C$5:$C$1000)-ROW(Auction!$C$5)+1),ROWS($A$9:A23))),"")</f>
        <v/>
      </c>
      <c r="B23" s="6">
        <f t="array" ref="B23">IFERROR(INDEX(Auction!$B$5:$B$1000,SMALL(IF(Auction!$C$5:$C$1000=$A$1,ROW(Auction!$C$5:$C$1000)-ROW(Auction!$C$5)+1),ROWS($A$9:A23))),"")</f>
        <v/>
      </c>
      <c r="C23" s="7">
        <f>IFERROR(T(VLOOKUP($A23,Players!$A:$E,2,FALSE)),"")</f>
        <v/>
      </c>
      <c r="D23" s="7">
        <f>IFERROR(T(VLOOKUP($A23,Players!$A:$E,3,FALSE)),"")</f>
        <v/>
      </c>
      <c r="E23" s="5">
        <f>IFERROR(T(VLOOKUP($A23,Players!$A:$E,4,FALSE)),"")</f>
        <v/>
      </c>
      <c r="F23" s="5">
        <f>IFERROR(T(VLOOKUP($A23,Players!$A:$E,5,FALSE)),"")</f>
        <v/>
      </c>
    </row>
    <row r="24">
      <c r="A24" s="8">
        <f t="array" ref="A24">IFERROR(INDEX(Auction!$A$5:$A$1000,SMALL(IF(Auction!$C$5:$C$1000=$A$1,ROW(Auction!$C$5:$C$1000)-ROW(Auction!$C$5)+1),ROWS($A$9:A24))),"")</f>
        <v/>
      </c>
      <c r="B24" s="9">
        <f t="array" ref="B24">IFERROR(INDEX(Auction!$B$5:$B$1000,SMALL(IF(Auction!$C$5:$C$1000=$A$1,ROW(Auction!$C$5:$C$1000)-ROW(Auction!$C$5)+1),ROWS($A$9:A24))),"")</f>
        <v/>
      </c>
      <c r="C24" s="10">
        <f>IFERROR(T(VLOOKUP($A24,Players!$A:$E,2,FALSE)),"")</f>
        <v/>
      </c>
      <c r="D24" s="10">
        <f>IFERROR(T(VLOOKUP($A24,Players!$A:$E,3,FALSE)),"")</f>
        <v/>
      </c>
      <c r="E24" s="8">
        <f>IFERROR(T(VLOOKUP($A24,Players!$A:$E,4,FALSE)),"")</f>
        <v/>
      </c>
      <c r="F24" s="8">
        <f>IFERROR(T(VLOOKUP($A24,Players!$A:$E,5,FALSE)),"")</f>
        <v/>
      </c>
    </row>
    <row r="25">
      <c r="A25" s="5">
        <f t="array" ref="A25">IFERROR(INDEX(Auction!$A$5:$A$1000,SMALL(IF(Auction!$C$5:$C$1000=$A$1,ROW(Auction!$C$5:$C$1000)-ROW(Auction!$C$5)+1),ROWS($A$9:A25))),"")</f>
        <v/>
      </c>
      <c r="B25" s="6">
        <f t="array" ref="B25">IFERROR(INDEX(Auction!$B$5:$B$1000,SMALL(IF(Auction!$C$5:$C$1000=$A$1,ROW(Auction!$C$5:$C$1000)-ROW(Auction!$C$5)+1),ROWS($A$9:A25))),"")</f>
        <v/>
      </c>
      <c r="C25" s="7">
        <f>IFERROR(T(VLOOKUP($A25,Players!$A:$E,2,FALSE)),"")</f>
        <v/>
      </c>
      <c r="D25" s="7">
        <f>IFERROR(T(VLOOKUP($A25,Players!$A:$E,3,FALSE)),"")</f>
        <v/>
      </c>
      <c r="E25" s="5">
        <f>IFERROR(T(VLOOKUP($A25,Players!$A:$E,4,FALSE)),"")</f>
        <v/>
      </c>
      <c r="F25" s="5">
        <f>IFERROR(T(VLOOKUP($A25,Players!$A:$E,5,FALSE)),"")</f>
        <v/>
      </c>
    </row>
    <row r="26">
      <c r="A26" s="8">
        <f t="array" ref="A26">IFERROR(INDEX(Auction!$A$5:$A$1000,SMALL(IF(Auction!$C$5:$C$1000=$A$1,ROW(Auction!$C$5:$C$1000)-ROW(Auction!$C$5)+1),ROWS($A$9:A26))),"")</f>
        <v/>
      </c>
      <c r="B26" s="9">
        <f t="array" ref="B26">IFERROR(INDEX(Auction!$B$5:$B$1000,SMALL(IF(Auction!$C$5:$C$1000=$A$1,ROW(Auction!$C$5:$C$1000)-ROW(Auction!$C$5)+1),ROWS($A$9:A26))),"")</f>
        <v/>
      </c>
      <c r="C26" s="10">
        <f>IFERROR(T(VLOOKUP($A26,Players!$A:$E,2,FALSE)),"")</f>
        <v/>
      </c>
      <c r="D26" s="10">
        <f>IFERROR(T(VLOOKUP($A26,Players!$A:$E,3,FALSE)),"")</f>
        <v/>
      </c>
      <c r="E26" s="8">
        <f>IFERROR(T(VLOOKUP($A26,Players!$A:$E,4,FALSE)),"")</f>
        <v/>
      </c>
      <c r="F26" s="8">
        <f>IFERROR(T(VLOOKUP($A26,Players!$A:$E,5,FALSE)),"")</f>
        <v/>
      </c>
    </row>
    <row r="27">
      <c r="A27" s="5">
        <f t="array" ref="A27">IFERROR(INDEX(Auction!$A$5:$A$1000,SMALL(IF(Auction!$C$5:$C$1000=$A$1,ROW(Auction!$C$5:$C$1000)-ROW(Auction!$C$5)+1),ROWS($A$9:A27))),"")</f>
        <v/>
      </c>
      <c r="B27" s="6">
        <f t="array" ref="B27">IFERROR(INDEX(Auction!$B$5:$B$1000,SMALL(IF(Auction!$C$5:$C$1000=$A$1,ROW(Auction!$C$5:$C$1000)-ROW(Auction!$C$5)+1),ROWS($A$9:A27))),"")</f>
        <v/>
      </c>
      <c r="C27" s="7">
        <f>IFERROR(T(VLOOKUP($A27,Players!$A:$E,2,FALSE)),"")</f>
        <v/>
      </c>
      <c r="D27" s="7">
        <f>IFERROR(T(VLOOKUP($A27,Players!$A:$E,3,FALSE)),"")</f>
        <v/>
      </c>
      <c r="E27" s="5">
        <f>IFERROR(T(VLOOKUP($A27,Players!$A:$E,4,FALSE)),"")</f>
        <v/>
      </c>
      <c r="F27" s="5">
        <f>IFERROR(T(VLOOKUP($A27,Players!$A:$E,5,FALSE)),"")</f>
        <v/>
      </c>
    </row>
    <row r="28">
      <c r="A28" s="8">
        <f t="array" ref="A28">IFERROR(INDEX(Auction!$A$5:$A$1000,SMALL(IF(Auction!$C$5:$C$1000=$A$1,ROW(Auction!$C$5:$C$1000)-ROW(Auction!$C$5)+1),ROWS($A$9:A28))),"")</f>
        <v/>
      </c>
      <c r="B28" s="9">
        <f t="array" ref="B28">IFERROR(INDEX(Auction!$B$5:$B$1000,SMALL(IF(Auction!$C$5:$C$1000=$A$1,ROW(Auction!$C$5:$C$1000)-ROW(Auction!$C$5)+1),ROWS($A$9:A28))),"")</f>
        <v/>
      </c>
      <c r="C28" s="10">
        <f>IFERROR(T(VLOOKUP($A28,Players!$A:$E,2,FALSE)),"")</f>
        <v/>
      </c>
      <c r="D28" s="10">
        <f>IFERROR(T(VLOOKUP($A28,Players!$A:$E,3,FALSE)),"")</f>
        <v/>
      </c>
      <c r="E28" s="8">
        <f>IFERROR(T(VLOOKUP($A28,Players!$A:$E,4,FALSE)),"")</f>
        <v/>
      </c>
      <c r="F28" s="8">
        <f>IFERROR(T(VLOOKUP($A28,Players!$A:$E,5,FALSE)),"")</f>
        <v/>
      </c>
    </row>
    <row r="29">
      <c r="A29" s="5">
        <f t="array" ref="A29">IFERROR(INDEX(Auction!$A$5:$A$1000,SMALL(IF(Auction!$C$5:$C$1000=$A$1,ROW(Auction!$C$5:$C$1000)-ROW(Auction!$C$5)+1),ROWS($A$9:A29))),"")</f>
        <v/>
      </c>
      <c r="B29" s="6">
        <f t="array" ref="B29">IFERROR(INDEX(Auction!$B$5:$B$1000,SMALL(IF(Auction!$C$5:$C$1000=$A$1,ROW(Auction!$C$5:$C$1000)-ROW(Auction!$C$5)+1),ROWS($A$9:A29))),"")</f>
        <v/>
      </c>
      <c r="C29" s="7">
        <f>IFERROR(T(VLOOKUP($A29,Players!$A:$E,2,FALSE)),"")</f>
        <v/>
      </c>
      <c r="D29" s="7">
        <f>IFERROR(T(VLOOKUP($A29,Players!$A:$E,3,FALSE)),"")</f>
        <v/>
      </c>
      <c r="E29" s="5">
        <f>IFERROR(T(VLOOKUP($A29,Players!$A:$E,4,FALSE)),"")</f>
        <v/>
      </c>
      <c r="F29" s="5">
        <f>IFERROR(T(VLOOKUP($A29,Players!$A:$E,5,FALSE)),"")</f>
        <v/>
      </c>
    </row>
    <row r="30">
      <c r="A30" s="8">
        <f t="array" ref="A30">IFERROR(INDEX(Auction!$A$5:$A$1000,SMALL(IF(Auction!$C$5:$C$1000=$A$1,ROW(Auction!$C$5:$C$1000)-ROW(Auction!$C$5)+1),ROWS($A$9:A30))),"")</f>
        <v/>
      </c>
      <c r="B30" s="9">
        <f t="array" ref="B30">IFERROR(INDEX(Auction!$B$5:$B$1000,SMALL(IF(Auction!$C$5:$C$1000=$A$1,ROW(Auction!$C$5:$C$1000)-ROW(Auction!$C$5)+1),ROWS($A$9:A30))),"")</f>
        <v/>
      </c>
      <c r="C30" s="10">
        <f>IFERROR(T(VLOOKUP($A30,Players!$A:$E,2,FALSE)),"")</f>
        <v/>
      </c>
      <c r="D30" s="10">
        <f>IFERROR(T(VLOOKUP($A30,Players!$A:$E,3,FALSE)),"")</f>
        <v/>
      </c>
      <c r="E30" s="8">
        <f>IFERROR(T(VLOOKUP($A30,Players!$A:$E,4,FALSE)),"")</f>
        <v/>
      </c>
      <c r="F30" s="8">
        <f>IFERROR(T(VLOOKUP($A30,Players!$A:$E,5,FALSE)),"")</f>
        <v/>
      </c>
    </row>
    <row r="31">
      <c r="A31" s="5">
        <f t="array" ref="A31">IFERROR(INDEX(Auction!$A$5:$A$1000,SMALL(IF(Auction!$C$5:$C$1000=$A$1,ROW(Auction!$C$5:$C$1000)-ROW(Auction!$C$5)+1),ROWS($A$9:A31))),"")</f>
        <v/>
      </c>
      <c r="B31" s="6">
        <f t="array" ref="B31">IFERROR(INDEX(Auction!$B$5:$B$1000,SMALL(IF(Auction!$C$5:$C$1000=$A$1,ROW(Auction!$C$5:$C$1000)-ROW(Auction!$C$5)+1),ROWS($A$9:A31))),"")</f>
        <v/>
      </c>
      <c r="C31" s="7">
        <f>IFERROR(T(VLOOKUP($A31,Players!$A:$E,2,FALSE)),"")</f>
        <v/>
      </c>
      <c r="D31" s="7">
        <f>IFERROR(T(VLOOKUP($A31,Players!$A:$E,3,FALSE)),"")</f>
        <v/>
      </c>
      <c r="E31" s="5">
        <f>IFERROR(T(VLOOKUP($A31,Players!$A:$E,4,FALSE)),"")</f>
        <v/>
      </c>
      <c r="F31" s="5">
        <f>IFERROR(T(VLOOKUP($A31,Players!$A:$E,5,FALSE)),"")</f>
        <v/>
      </c>
    </row>
    <row r="32">
      <c r="A32" s="8">
        <f t="array" ref="A32">IFERROR(INDEX(Auction!$A$5:$A$1000,SMALL(IF(Auction!$C$5:$C$1000=$A$1,ROW(Auction!$C$5:$C$1000)-ROW(Auction!$C$5)+1),ROWS($A$9:A32))),"")</f>
        <v/>
      </c>
      <c r="B32" s="9">
        <f t="array" ref="B32">IFERROR(INDEX(Auction!$B$5:$B$1000,SMALL(IF(Auction!$C$5:$C$1000=$A$1,ROW(Auction!$C$5:$C$1000)-ROW(Auction!$C$5)+1),ROWS($A$9:A32))),"")</f>
        <v/>
      </c>
      <c r="C32" s="10">
        <f>IFERROR(T(VLOOKUP($A32,Players!$A:$E,2,FALSE)),"")</f>
        <v/>
      </c>
      <c r="D32" s="10">
        <f>IFERROR(T(VLOOKUP($A32,Players!$A:$E,3,FALSE)),"")</f>
        <v/>
      </c>
      <c r="E32" s="8">
        <f>IFERROR(T(VLOOKUP($A32,Players!$A:$E,4,FALSE)),"")</f>
        <v/>
      </c>
      <c r="F32" s="8">
        <f>IFERROR(T(VLOOKUP($A32,Players!$A:$E,5,FALSE)),"")</f>
        <v/>
      </c>
    </row>
    <row r="33">
      <c r="A33" s="5">
        <f t="array" ref="A33">IFERROR(INDEX(Auction!$A$5:$A$1000,SMALL(IF(Auction!$C$5:$C$1000=$A$1,ROW(Auction!$C$5:$C$1000)-ROW(Auction!$C$5)+1),ROWS($A$9:A33))),"")</f>
        <v/>
      </c>
      <c r="B33" s="6">
        <f t="array" ref="B33">IFERROR(INDEX(Auction!$B$5:$B$1000,SMALL(IF(Auction!$C$5:$C$1000=$A$1,ROW(Auction!$C$5:$C$1000)-ROW(Auction!$C$5)+1),ROWS($A$9:A33))),"")</f>
        <v/>
      </c>
      <c r="C33" s="7">
        <f>IFERROR(T(VLOOKUP($A33,Players!$A:$E,2,FALSE)),"")</f>
        <v/>
      </c>
      <c r="D33" s="7">
        <f>IFERROR(T(VLOOKUP($A33,Players!$A:$E,3,FALSE)),"")</f>
        <v/>
      </c>
      <c r="E33" s="5">
        <f>IFERROR(T(VLOOKUP($A33,Players!$A:$E,4,FALSE)),"")</f>
        <v/>
      </c>
      <c r="F33" s="5">
        <f>IFERROR(T(VLOOKUP($A33,Players!$A:$E,5,FALSE)),"")</f>
        <v/>
      </c>
    </row>
    <row r="34">
      <c r="A34" s="8">
        <f t="array" ref="A34">IFERROR(INDEX(Auction!$A$5:$A$1000,SMALL(IF(Auction!$C$5:$C$1000=$A$1,ROW(Auction!$C$5:$C$1000)-ROW(Auction!$C$5)+1),ROWS($A$9:A34))),"")</f>
        <v/>
      </c>
      <c r="B34" s="9">
        <f t="array" ref="B34">IFERROR(INDEX(Auction!$B$5:$B$1000,SMALL(IF(Auction!$C$5:$C$1000=$A$1,ROW(Auction!$C$5:$C$1000)-ROW(Auction!$C$5)+1),ROWS($A$9:A34))),"")</f>
        <v/>
      </c>
      <c r="C34" s="10">
        <f>IFERROR(T(VLOOKUP($A34,Players!$A:$E,2,FALSE)),"")</f>
        <v/>
      </c>
      <c r="D34" s="10">
        <f>IFERROR(T(VLOOKUP($A34,Players!$A:$E,3,FALSE)),"")</f>
        <v/>
      </c>
      <c r="E34" s="8">
        <f>IFERROR(T(VLOOKUP($A34,Players!$A:$E,4,FALSE)),"")</f>
        <v/>
      </c>
      <c r="F34" s="8">
        <f>IFERROR(T(VLOOKUP($A34,Players!$A:$E,5,FALSE)),"")</f>
        <v/>
      </c>
    </row>
    <row r="35">
      <c r="A35" s="5">
        <f t="array" ref="A35">IFERROR(INDEX(Auction!$A$5:$A$1000,SMALL(IF(Auction!$C$5:$C$1000=$A$1,ROW(Auction!$C$5:$C$1000)-ROW(Auction!$C$5)+1),ROWS($A$9:A35))),"")</f>
        <v/>
      </c>
      <c r="B35" s="6">
        <f t="array" ref="B35">IFERROR(INDEX(Auction!$B$5:$B$1000,SMALL(IF(Auction!$C$5:$C$1000=$A$1,ROW(Auction!$C$5:$C$1000)-ROW(Auction!$C$5)+1),ROWS($A$9:A35))),"")</f>
        <v/>
      </c>
      <c r="C35" s="7">
        <f>IFERROR(T(VLOOKUP($A35,Players!$A:$E,2,FALSE)),"")</f>
        <v/>
      </c>
      <c r="D35" s="7">
        <f>IFERROR(T(VLOOKUP($A35,Players!$A:$E,3,FALSE)),"")</f>
        <v/>
      </c>
      <c r="E35" s="5">
        <f>IFERROR(T(VLOOKUP($A35,Players!$A:$E,4,FALSE)),"")</f>
        <v/>
      </c>
      <c r="F35" s="5">
        <f>IFERROR(T(VLOOKUP($A35,Players!$A:$E,5,FALSE)),"")</f>
        <v/>
      </c>
    </row>
    <row r="36">
      <c r="A36" s="8">
        <f t="array" ref="A36">IFERROR(INDEX(Auction!$A$5:$A$1000,SMALL(IF(Auction!$C$5:$C$1000=$A$1,ROW(Auction!$C$5:$C$1000)-ROW(Auction!$C$5)+1),ROWS($A$9:A36))),"")</f>
        <v/>
      </c>
      <c r="B36" s="9">
        <f t="array" ref="B36">IFERROR(INDEX(Auction!$B$5:$B$1000,SMALL(IF(Auction!$C$5:$C$1000=$A$1,ROW(Auction!$C$5:$C$1000)-ROW(Auction!$C$5)+1),ROWS($A$9:A36))),"")</f>
        <v/>
      </c>
      <c r="C36" s="10">
        <f>IFERROR(T(VLOOKUP($A36,Players!$A:$E,2,FALSE)),"")</f>
        <v/>
      </c>
      <c r="D36" s="10">
        <f>IFERROR(T(VLOOKUP($A36,Players!$A:$E,3,FALSE)),"")</f>
        <v/>
      </c>
      <c r="E36" s="8">
        <f>IFERROR(T(VLOOKUP($A36,Players!$A:$E,4,FALSE)),"")</f>
        <v/>
      </c>
      <c r="F36" s="8">
        <f>IFERROR(T(VLOOKUP($A36,Players!$A:$E,5,FALSE)),"")</f>
        <v/>
      </c>
    </row>
    <row r="37">
      <c r="A37" s="5">
        <f t="array" ref="A37">IFERROR(INDEX(Auction!$A$5:$A$1000,SMALL(IF(Auction!$C$5:$C$1000=$A$1,ROW(Auction!$C$5:$C$1000)-ROW(Auction!$C$5)+1),ROWS($A$9:A37))),"")</f>
        <v/>
      </c>
      <c r="B37" s="6">
        <f t="array" ref="B37">IFERROR(INDEX(Auction!$B$5:$B$1000,SMALL(IF(Auction!$C$5:$C$1000=$A$1,ROW(Auction!$C$5:$C$1000)-ROW(Auction!$C$5)+1),ROWS($A$9:A37))),"")</f>
        <v/>
      </c>
      <c r="C37" s="7">
        <f>IFERROR(T(VLOOKUP($A37,Players!$A:$E,2,FALSE)),"")</f>
        <v/>
      </c>
      <c r="D37" s="7">
        <f>IFERROR(T(VLOOKUP($A37,Players!$A:$E,3,FALSE)),"")</f>
        <v/>
      </c>
      <c r="E37" s="5">
        <f>IFERROR(T(VLOOKUP($A37,Players!$A:$E,4,FALSE)),"")</f>
        <v/>
      </c>
      <c r="F37" s="5">
        <f>IFERROR(T(VLOOKUP($A37,Players!$A:$E,5,FALSE)),"")</f>
        <v/>
      </c>
    </row>
    <row r="38">
      <c r="A38" s="8">
        <f t="array" ref="A38">IFERROR(INDEX(Auction!$A$5:$A$1000,SMALL(IF(Auction!$C$5:$C$1000=$A$1,ROW(Auction!$C$5:$C$1000)-ROW(Auction!$C$5)+1),ROWS($A$9:A38))),"")</f>
        <v/>
      </c>
      <c r="B38" s="9">
        <f t="array" ref="B38">IFERROR(INDEX(Auction!$B$5:$B$1000,SMALL(IF(Auction!$C$5:$C$1000=$A$1,ROW(Auction!$C$5:$C$1000)-ROW(Auction!$C$5)+1),ROWS($A$9:A38))),"")</f>
        <v/>
      </c>
      <c r="C38" s="10">
        <f>IFERROR(T(VLOOKUP($A38,Players!$A:$E,2,FALSE)),"")</f>
        <v/>
      </c>
      <c r="D38" s="10">
        <f>IFERROR(T(VLOOKUP($A38,Players!$A:$E,3,FALSE)),"")</f>
        <v/>
      </c>
      <c r="E38" s="8">
        <f>IFERROR(T(VLOOKUP($A38,Players!$A:$E,4,FALSE)),"")</f>
        <v/>
      </c>
      <c r="F38" s="8">
        <f>IFERROR(T(VLOOKUP($A38,Players!$A:$E,5,FALSE)),"")</f>
        <v/>
      </c>
    </row>
    <row r="39">
      <c r="A39" s="5">
        <f t="array" ref="A39">IFERROR(INDEX(Auction!$A$5:$A$1000,SMALL(IF(Auction!$C$5:$C$1000=$A$1,ROW(Auction!$C$5:$C$1000)-ROW(Auction!$C$5)+1),ROWS($A$9:A39))),"")</f>
        <v/>
      </c>
      <c r="B39" s="6">
        <f t="array" ref="B39">IFERROR(INDEX(Auction!$B$5:$B$1000,SMALL(IF(Auction!$C$5:$C$1000=$A$1,ROW(Auction!$C$5:$C$1000)-ROW(Auction!$C$5)+1),ROWS($A$9:A39))),"")</f>
        <v/>
      </c>
      <c r="C39" s="7">
        <f>IFERROR(T(VLOOKUP($A39,Players!$A:$E,2,FALSE)),"")</f>
        <v/>
      </c>
      <c r="D39" s="7">
        <f>IFERROR(T(VLOOKUP($A39,Players!$A:$E,3,FALSE)),"")</f>
        <v/>
      </c>
      <c r="E39" s="5">
        <f>IFERROR(T(VLOOKUP($A39,Players!$A:$E,4,FALSE)),"")</f>
        <v/>
      </c>
      <c r="F39" s="5">
        <f>IFERROR(T(VLOOKUP($A39,Players!$A:$E,5,FALSE)),"")</f>
        <v/>
      </c>
    </row>
    <row r="40">
      <c r="A40" s="8">
        <f t="array" ref="A40">IFERROR(INDEX(Auction!$A$5:$A$1000,SMALL(IF(Auction!$C$5:$C$1000=$A$1,ROW(Auction!$C$5:$C$1000)-ROW(Auction!$C$5)+1),ROWS($A$9:A40))),"")</f>
        <v/>
      </c>
      <c r="B40" s="9">
        <f t="array" ref="B40">IFERROR(INDEX(Auction!$B$5:$B$1000,SMALL(IF(Auction!$C$5:$C$1000=$A$1,ROW(Auction!$C$5:$C$1000)-ROW(Auction!$C$5)+1),ROWS($A$9:A40))),"")</f>
        <v/>
      </c>
      <c r="C40" s="10">
        <f>IFERROR(T(VLOOKUP($A40,Players!$A:$E,2,FALSE)),"")</f>
        <v/>
      </c>
      <c r="D40" s="10">
        <f>IFERROR(T(VLOOKUP($A40,Players!$A:$E,3,FALSE)),"")</f>
        <v/>
      </c>
      <c r="E40" s="8">
        <f>IFERROR(T(VLOOKUP($A40,Players!$A:$E,4,FALSE)),"")</f>
        <v/>
      </c>
      <c r="F40" s="8">
        <f>IFERROR(T(VLOOKUP($A40,Players!$A:$E,5,FALSE)),"")</f>
        <v/>
      </c>
    </row>
    <row r="41">
      <c r="A41" s="5">
        <f t="array" ref="A41">IFERROR(INDEX(Auction!$A$5:$A$1000,SMALL(IF(Auction!$C$5:$C$1000=$A$1,ROW(Auction!$C$5:$C$1000)-ROW(Auction!$C$5)+1),ROWS($A$9:A41))),"")</f>
        <v/>
      </c>
      <c r="B41" s="6">
        <f t="array" ref="B41">IFERROR(INDEX(Auction!$B$5:$B$1000,SMALL(IF(Auction!$C$5:$C$1000=$A$1,ROW(Auction!$C$5:$C$1000)-ROW(Auction!$C$5)+1),ROWS($A$9:A41))),"")</f>
        <v/>
      </c>
      <c r="C41" s="7">
        <f>IFERROR(T(VLOOKUP($A41,Players!$A:$E,2,FALSE)),"")</f>
        <v/>
      </c>
      <c r="D41" s="7">
        <f>IFERROR(T(VLOOKUP($A41,Players!$A:$E,3,FALSE)),"")</f>
        <v/>
      </c>
      <c r="E41" s="5">
        <f>IFERROR(T(VLOOKUP($A41,Players!$A:$E,4,FALSE)),"")</f>
        <v/>
      </c>
      <c r="F41" s="5">
        <f>IFERROR(T(VLOOKUP($A41,Players!$A:$E,5,FALSE)),"")</f>
        <v/>
      </c>
    </row>
    <row r="42">
      <c r="A42" s="8">
        <f t="array" ref="A42">IFERROR(INDEX(Auction!$A$5:$A$1000,SMALL(IF(Auction!$C$5:$C$1000=$A$1,ROW(Auction!$C$5:$C$1000)-ROW(Auction!$C$5)+1),ROWS($A$9:A42))),"")</f>
        <v/>
      </c>
      <c r="B42" s="9">
        <f t="array" ref="B42">IFERROR(INDEX(Auction!$B$5:$B$1000,SMALL(IF(Auction!$C$5:$C$1000=$A$1,ROW(Auction!$C$5:$C$1000)-ROW(Auction!$C$5)+1),ROWS($A$9:A42))),"")</f>
        <v/>
      </c>
      <c r="C42" s="10">
        <f>IFERROR(T(VLOOKUP($A42,Players!$A:$E,2,FALSE)),"")</f>
        <v/>
      </c>
      <c r="D42" s="10">
        <f>IFERROR(T(VLOOKUP($A42,Players!$A:$E,3,FALSE)),"")</f>
        <v/>
      </c>
      <c r="E42" s="8">
        <f>IFERROR(T(VLOOKUP($A42,Players!$A:$E,4,FALSE)),"")</f>
        <v/>
      </c>
      <c r="F42" s="8">
        <f>IFERROR(T(VLOOKUP($A42,Players!$A:$E,5,FALSE)),"")</f>
        <v/>
      </c>
    </row>
    <row r="43">
      <c r="A43" s="5">
        <f t="array" ref="A43">IFERROR(INDEX(Auction!$A$5:$A$1000,SMALL(IF(Auction!$C$5:$C$1000=$A$1,ROW(Auction!$C$5:$C$1000)-ROW(Auction!$C$5)+1),ROWS($A$9:A43))),"")</f>
        <v/>
      </c>
      <c r="B43" s="6">
        <f t="array" ref="B43">IFERROR(INDEX(Auction!$B$5:$B$1000,SMALL(IF(Auction!$C$5:$C$1000=$A$1,ROW(Auction!$C$5:$C$1000)-ROW(Auction!$C$5)+1),ROWS($A$9:A43))),"")</f>
        <v/>
      </c>
      <c r="C43" s="7">
        <f>IFERROR(T(VLOOKUP($A43,Players!$A:$E,2,FALSE)),"")</f>
        <v/>
      </c>
      <c r="D43" s="7">
        <f>IFERROR(T(VLOOKUP($A43,Players!$A:$E,3,FALSE)),"")</f>
        <v/>
      </c>
      <c r="E43" s="5">
        <f>IFERROR(T(VLOOKUP($A43,Players!$A:$E,4,FALSE)),"")</f>
        <v/>
      </c>
      <c r="F43" s="5">
        <f>IFERROR(T(VLOOKUP($A43,Players!$A:$E,5,FALSE)),"")</f>
        <v/>
      </c>
    </row>
    <row r="44">
      <c r="A44" s="8">
        <f t="array" ref="A44">IFERROR(INDEX(Auction!$A$5:$A$1000,SMALL(IF(Auction!$C$5:$C$1000=$A$1,ROW(Auction!$C$5:$C$1000)-ROW(Auction!$C$5)+1),ROWS($A$9:A44))),"")</f>
        <v/>
      </c>
      <c r="B44" s="9">
        <f t="array" ref="B44">IFERROR(INDEX(Auction!$B$5:$B$1000,SMALL(IF(Auction!$C$5:$C$1000=$A$1,ROW(Auction!$C$5:$C$1000)-ROW(Auction!$C$5)+1),ROWS($A$9:A44))),"")</f>
        <v/>
      </c>
      <c r="C44" s="10">
        <f>IFERROR(T(VLOOKUP($A44,Players!$A:$E,2,FALSE)),"")</f>
        <v/>
      </c>
      <c r="D44" s="10">
        <f>IFERROR(T(VLOOKUP($A44,Players!$A:$E,3,FALSE)),"")</f>
        <v/>
      </c>
      <c r="E44" s="8">
        <f>IFERROR(T(VLOOKUP($A44,Players!$A:$E,4,FALSE)),"")</f>
        <v/>
      </c>
      <c r="F44" s="8">
        <f>IFERROR(T(VLOOKUP($A44,Players!$A:$E,5,FALSE)),"")</f>
        <v/>
      </c>
    </row>
    <row r="45">
      <c r="A45" s="5">
        <f t="array" ref="A45">IFERROR(INDEX(Auction!$A$5:$A$1000,SMALL(IF(Auction!$C$5:$C$1000=$A$1,ROW(Auction!$C$5:$C$1000)-ROW(Auction!$C$5)+1),ROWS($A$9:A45))),"")</f>
        <v/>
      </c>
      <c r="B45" s="6">
        <f t="array" ref="B45">IFERROR(INDEX(Auction!$B$5:$B$1000,SMALL(IF(Auction!$C$5:$C$1000=$A$1,ROW(Auction!$C$5:$C$1000)-ROW(Auction!$C$5)+1),ROWS($A$9:A45))),"")</f>
        <v/>
      </c>
      <c r="C45" s="7">
        <f>IFERROR(T(VLOOKUP($A45,Players!$A:$E,2,FALSE)),"")</f>
        <v/>
      </c>
      <c r="D45" s="7">
        <f>IFERROR(T(VLOOKUP($A45,Players!$A:$E,3,FALSE)),"")</f>
        <v/>
      </c>
      <c r="E45" s="5">
        <f>IFERROR(T(VLOOKUP($A45,Players!$A:$E,4,FALSE)),"")</f>
        <v/>
      </c>
      <c r="F45" s="5">
        <f>IFERROR(T(VLOOKUP($A45,Players!$A:$E,5,FALSE)),"")</f>
        <v/>
      </c>
    </row>
    <row r="46">
      <c r="A46" s="8">
        <f t="array" ref="A46">IFERROR(INDEX(Auction!$A$5:$A$1000,SMALL(IF(Auction!$C$5:$C$1000=$A$1,ROW(Auction!$C$5:$C$1000)-ROW(Auction!$C$5)+1),ROWS($A$9:A46))),"")</f>
        <v/>
      </c>
      <c r="B46" s="9">
        <f t="array" ref="B46">IFERROR(INDEX(Auction!$B$5:$B$1000,SMALL(IF(Auction!$C$5:$C$1000=$A$1,ROW(Auction!$C$5:$C$1000)-ROW(Auction!$C$5)+1),ROWS($A$9:A46))),"")</f>
        <v/>
      </c>
      <c r="C46" s="10">
        <f>IFERROR(T(VLOOKUP($A46,Players!$A:$E,2,FALSE)),"")</f>
        <v/>
      </c>
      <c r="D46" s="10">
        <f>IFERROR(T(VLOOKUP($A46,Players!$A:$E,3,FALSE)),"")</f>
        <v/>
      </c>
      <c r="E46" s="8">
        <f>IFERROR(T(VLOOKUP($A46,Players!$A:$E,4,FALSE)),"")</f>
        <v/>
      </c>
      <c r="F46" s="8">
        <f>IFERROR(T(VLOOKUP($A46,Players!$A:$E,5,FALSE)),"")</f>
        <v/>
      </c>
    </row>
    <row r="47">
      <c r="A47" s="5">
        <f t="array" ref="A47">IFERROR(INDEX(Auction!$A$5:$A$1000,SMALL(IF(Auction!$C$5:$C$1000=$A$1,ROW(Auction!$C$5:$C$1000)-ROW(Auction!$C$5)+1),ROWS($A$9:A47))),"")</f>
        <v/>
      </c>
      <c r="B47" s="6">
        <f t="array" ref="B47">IFERROR(INDEX(Auction!$B$5:$B$1000,SMALL(IF(Auction!$C$5:$C$1000=$A$1,ROW(Auction!$C$5:$C$1000)-ROW(Auction!$C$5)+1),ROWS($A$9:A47))),"")</f>
        <v/>
      </c>
      <c r="C47" s="7">
        <f>IFERROR(T(VLOOKUP($A47,Players!$A:$E,2,FALSE)),"")</f>
        <v/>
      </c>
      <c r="D47" s="7">
        <f>IFERROR(T(VLOOKUP($A47,Players!$A:$E,3,FALSE)),"")</f>
        <v/>
      </c>
      <c r="E47" s="5">
        <f>IFERROR(T(VLOOKUP($A47,Players!$A:$E,4,FALSE)),"")</f>
        <v/>
      </c>
      <c r="F47" s="5">
        <f>IFERROR(T(VLOOKUP($A47,Players!$A:$E,5,FALSE)),"")</f>
        <v/>
      </c>
    </row>
    <row r="48">
      <c r="A48" s="8">
        <f t="array" ref="A48">IFERROR(INDEX(Auction!$A$5:$A$1000,SMALL(IF(Auction!$C$5:$C$1000=$A$1,ROW(Auction!$C$5:$C$1000)-ROW(Auction!$C$5)+1),ROWS($A$9:A48))),"")</f>
        <v/>
      </c>
      <c r="B48" s="9">
        <f t="array" ref="B48">IFERROR(INDEX(Auction!$B$5:$B$1000,SMALL(IF(Auction!$C$5:$C$1000=$A$1,ROW(Auction!$C$5:$C$1000)-ROW(Auction!$C$5)+1),ROWS($A$9:A48))),"")</f>
        <v/>
      </c>
      <c r="C48" s="10">
        <f>IFERROR(T(VLOOKUP($A48,Players!$A:$E,2,FALSE)),"")</f>
        <v/>
      </c>
      <c r="D48" s="10">
        <f>IFERROR(T(VLOOKUP($A48,Players!$A:$E,3,FALSE)),"")</f>
        <v/>
      </c>
      <c r="E48" s="8">
        <f>IFERROR(T(VLOOKUP($A48,Players!$A:$E,4,FALSE)),"")</f>
        <v/>
      </c>
      <c r="F48" s="8">
        <f>IFERROR(T(VLOOKUP($A48,Players!$A:$E,5,FALSE)),"")</f>
        <v/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E5E8C"/>
    <outlinePr summaryBelow="1" summaryRight="1"/>
    <pageSetUpPr/>
  </sheetPr>
  <dimension ref="A1:F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8" customWidth="1" min="4" max="4"/>
    <col width="14" customWidth="1" min="5" max="5"/>
    <col width="15" customWidth="1" min="6" max="6"/>
  </cols>
  <sheetData>
    <row r="1" ht="28" customHeight="1">
      <c r="A1" s="22">
        <f>Balance!A18</f>
        <v/>
      </c>
    </row>
    <row r="3">
      <c r="A3" s="23" t="inlineStr">
        <is>
          <t>Purse (Cr)</t>
        </is>
      </c>
      <c r="B3" s="24">
        <f>Balance!B18</f>
        <v/>
      </c>
    </row>
    <row r="4">
      <c r="A4" s="23" t="inlineStr">
        <is>
          <t>Spent (Cr)</t>
        </is>
      </c>
      <c r="B4" s="24">
        <f>Balance!C18</f>
        <v/>
      </c>
    </row>
    <row r="5">
      <c r="A5" s="25" t="inlineStr">
        <is>
          <t>Balance (Cr)</t>
        </is>
      </c>
      <c r="B5" s="26">
        <f>Balance!D18</f>
        <v/>
      </c>
    </row>
    <row r="6">
      <c r="A6" s="27" t="inlineStr">
        <is>
          <t>Players</t>
        </is>
      </c>
      <c r="B6" s="28">
        <f>Balance!E18</f>
        <v/>
      </c>
    </row>
    <row r="8">
      <c r="A8" s="3" t="inlineStr">
        <is>
          <t>Player</t>
        </is>
      </c>
      <c r="B8" s="3" t="inlineStr">
        <is>
          <t>Price (Cr)</t>
        </is>
      </c>
      <c r="C8" s="3" t="inlineStr">
        <is>
          <t>Role</t>
        </is>
      </c>
      <c r="D8" s="3" t="inlineStr">
        <is>
          <t>Hand</t>
        </is>
      </c>
      <c r="E8" s="3" t="inlineStr">
        <is>
          <t>Country</t>
        </is>
      </c>
      <c r="F8" s="3" t="inlineStr">
        <is>
          <t>City</t>
        </is>
      </c>
    </row>
    <row r="9">
      <c r="A9" s="5">
        <f t="array" ref="A9">IFERROR(INDEX(Auction!$A$5:$A$1000,SMALL(IF(Auction!$C$5:$C$1000=$A$1,ROW(Auction!$C$5:$C$1000)-ROW(Auction!$C$5)+1),ROWS($A$9:A9))),"")</f>
        <v/>
      </c>
      <c r="B9" s="6">
        <f t="array" ref="B9">IFERROR(INDEX(Auction!$B$5:$B$1000,SMALL(IF(Auction!$C$5:$C$1000=$A$1,ROW(Auction!$C$5:$C$1000)-ROW(Auction!$C$5)+1),ROWS($A$9:A9))),"")</f>
        <v/>
      </c>
      <c r="C9" s="7">
        <f>IFERROR(T(VLOOKUP($A9,Players!$A:$E,2,FALSE)),"")</f>
        <v/>
      </c>
      <c r="D9" s="7">
        <f>IFERROR(T(VLOOKUP($A9,Players!$A:$E,3,FALSE)),"")</f>
        <v/>
      </c>
      <c r="E9" s="5">
        <f>IFERROR(T(VLOOKUP($A9,Players!$A:$E,4,FALSE)),"")</f>
        <v/>
      </c>
      <c r="F9" s="5">
        <f>IFERROR(T(VLOOKUP($A9,Players!$A:$E,5,FALSE)),"")</f>
        <v/>
      </c>
    </row>
    <row r="10">
      <c r="A10" s="8">
        <f t="array" ref="A10">IFERROR(INDEX(Auction!$A$5:$A$1000,SMALL(IF(Auction!$C$5:$C$1000=$A$1,ROW(Auction!$C$5:$C$1000)-ROW(Auction!$C$5)+1),ROWS($A$9:A10))),"")</f>
        <v/>
      </c>
      <c r="B10" s="9">
        <f t="array" ref="B10">IFERROR(INDEX(Auction!$B$5:$B$1000,SMALL(IF(Auction!$C$5:$C$1000=$A$1,ROW(Auction!$C$5:$C$1000)-ROW(Auction!$C$5)+1),ROWS($A$9:A10))),"")</f>
        <v/>
      </c>
      <c r="C10" s="10">
        <f>IFERROR(T(VLOOKUP($A10,Players!$A:$E,2,FALSE)),"")</f>
        <v/>
      </c>
      <c r="D10" s="10">
        <f>IFERROR(T(VLOOKUP($A10,Players!$A:$E,3,FALSE)),"")</f>
        <v/>
      </c>
      <c r="E10" s="8">
        <f>IFERROR(T(VLOOKUP($A10,Players!$A:$E,4,FALSE)),"")</f>
        <v/>
      </c>
      <c r="F10" s="8">
        <f>IFERROR(T(VLOOKUP($A10,Players!$A:$E,5,FALSE)),"")</f>
        <v/>
      </c>
    </row>
    <row r="11">
      <c r="A11" s="5">
        <f t="array" ref="A11">IFERROR(INDEX(Auction!$A$5:$A$1000,SMALL(IF(Auction!$C$5:$C$1000=$A$1,ROW(Auction!$C$5:$C$1000)-ROW(Auction!$C$5)+1),ROWS($A$9:A11))),"")</f>
        <v/>
      </c>
      <c r="B11" s="6">
        <f t="array" ref="B11">IFERROR(INDEX(Auction!$B$5:$B$1000,SMALL(IF(Auction!$C$5:$C$1000=$A$1,ROW(Auction!$C$5:$C$1000)-ROW(Auction!$C$5)+1),ROWS($A$9:A11))),"")</f>
        <v/>
      </c>
      <c r="C11" s="7">
        <f>IFERROR(T(VLOOKUP($A11,Players!$A:$E,2,FALSE)),"")</f>
        <v/>
      </c>
      <c r="D11" s="7">
        <f>IFERROR(T(VLOOKUP($A11,Players!$A:$E,3,FALSE)),"")</f>
        <v/>
      </c>
      <c r="E11" s="5">
        <f>IFERROR(T(VLOOKUP($A11,Players!$A:$E,4,FALSE)),"")</f>
        <v/>
      </c>
      <c r="F11" s="5">
        <f>IFERROR(T(VLOOKUP($A11,Players!$A:$E,5,FALSE)),"")</f>
        <v/>
      </c>
    </row>
    <row r="12">
      <c r="A12" s="8">
        <f t="array" ref="A12">IFERROR(INDEX(Auction!$A$5:$A$1000,SMALL(IF(Auction!$C$5:$C$1000=$A$1,ROW(Auction!$C$5:$C$1000)-ROW(Auction!$C$5)+1),ROWS($A$9:A12))),"")</f>
        <v/>
      </c>
      <c r="B12" s="9">
        <f t="array" ref="B12">IFERROR(INDEX(Auction!$B$5:$B$1000,SMALL(IF(Auction!$C$5:$C$1000=$A$1,ROW(Auction!$C$5:$C$1000)-ROW(Auction!$C$5)+1),ROWS($A$9:A12))),"")</f>
        <v/>
      </c>
      <c r="C12" s="10">
        <f>IFERROR(T(VLOOKUP($A12,Players!$A:$E,2,FALSE)),"")</f>
        <v/>
      </c>
      <c r="D12" s="10">
        <f>IFERROR(T(VLOOKUP($A12,Players!$A:$E,3,FALSE)),"")</f>
        <v/>
      </c>
      <c r="E12" s="8">
        <f>IFERROR(T(VLOOKUP($A12,Players!$A:$E,4,FALSE)),"")</f>
        <v/>
      </c>
      <c r="F12" s="8">
        <f>IFERROR(T(VLOOKUP($A12,Players!$A:$E,5,FALSE)),"")</f>
        <v/>
      </c>
    </row>
    <row r="13">
      <c r="A13" s="5">
        <f t="array" ref="A13">IFERROR(INDEX(Auction!$A$5:$A$1000,SMALL(IF(Auction!$C$5:$C$1000=$A$1,ROW(Auction!$C$5:$C$1000)-ROW(Auction!$C$5)+1),ROWS($A$9:A13))),"")</f>
        <v/>
      </c>
      <c r="B13" s="6">
        <f t="array" ref="B13">IFERROR(INDEX(Auction!$B$5:$B$1000,SMALL(IF(Auction!$C$5:$C$1000=$A$1,ROW(Auction!$C$5:$C$1000)-ROW(Auction!$C$5)+1),ROWS($A$9:A13))),"")</f>
        <v/>
      </c>
      <c r="C13" s="7">
        <f>IFERROR(T(VLOOKUP($A13,Players!$A:$E,2,FALSE)),"")</f>
        <v/>
      </c>
      <c r="D13" s="7">
        <f>IFERROR(T(VLOOKUP($A13,Players!$A:$E,3,FALSE)),"")</f>
        <v/>
      </c>
      <c r="E13" s="5">
        <f>IFERROR(T(VLOOKUP($A13,Players!$A:$E,4,FALSE)),"")</f>
        <v/>
      </c>
      <c r="F13" s="5">
        <f>IFERROR(T(VLOOKUP($A13,Players!$A:$E,5,FALSE)),"")</f>
        <v/>
      </c>
    </row>
    <row r="14">
      <c r="A14" s="8">
        <f t="array" ref="A14">IFERROR(INDEX(Auction!$A$5:$A$1000,SMALL(IF(Auction!$C$5:$C$1000=$A$1,ROW(Auction!$C$5:$C$1000)-ROW(Auction!$C$5)+1),ROWS($A$9:A14))),"")</f>
        <v/>
      </c>
      <c r="B14" s="9">
        <f t="array" ref="B14">IFERROR(INDEX(Auction!$B$5:$B$1000,SMALL(IF(Auction!$C$5:$C$1000=$A$1,ROW(Auction!$C$5:$C$1000)-ROW(Auction!$C$5)+1),ROWS($A$9:A14))),"")</f>
        <v/>
      </c>
      <c r="C14" s="10">
        <f>IFERROR(T(VLOOKUP($A14,Players!$A:$E,2,FALSE)),"")</f>
        <v/>
      </c>
      <c r="D14" s="10">
        <f>IFERROR(T(VLOOKUP($A14,Players!$A:$E,3,FALSE)),"")</f>
        <v/>
      </c>
      <c r="E14" s="8">
        <f>IFERROR(T(VLOOKUP($A14,Players!$A:$E,4,FALSE)),"")</f>
        <v/>
      </c>
      <c r="F14" s="8">
        <f>IFERROR(T(VLOOKUP($A14,Players!$A:$E,5,FALSE)),"")</f>
        <v/>
      </c>
    </row>
    <row r="15">
      <c r="A15" s="5">
        <f t="array" ref="A15">IFERROR(INDEX(Auction!$A$5:$A$1000,SMALL(IF(Auction!$C$5:$C$1000=$A$1,ROW(Auction!$C$5:$C$1000)-ROW(Auction!$C$5)+1),ROWS($A$9:A15))),"")</f>
        <v/>
      </c>
      <c r="B15" s="6">
        <f t="array" ref="B15">IFERROR(INDEX(Auction!$B$5:$B$1000,SMALL(IF(Auction!$C$5:$C$1000=$A$1,ROW(Auction!$C$5:$C$1000)-ROW(Auction!$C$5)+1),ROWS($A$9:A15))),"")</f>
        <v/>
      </c>
      <c r="C15" s="7">
        <f>IFERROR(T(VLOOKUP($A15,Players!$A:$E,2,FALSE)),"")</f>
        <v/>
      </c>
      <c r="D15" s="7">
        <f>IFERROR(T(VLOOKUP($A15,Players!$A:$E,3,FALSE)),"")</f>
        <v/>
      </c>
      <c r="E15" s="5">
        <f>IFERROR(T(VLOOKUP($A15,Players!$A:$E,4,FALSE)),"")</f>
        <v/>
      </c>
      <c r="F15" s="5">
        <f>IFERROR(T(VLOOKUP($A15,Players!$A:$E,5,FALSE)),"")</f>
        <v/>
      </c>
    </row>
    <row r="16">
      <c r="A16" s="8">
        <f t="array" ref="A16">IFERROR(INDEX(Auction!$A$5:$A$1000,SMALL(IF(Auction!$C$5:$C$1000=$A$1,ROW(Auction!$C$5:$C$1000)-ROW(Auction!$C$5)+1),ROWS($A$9:A16))),"")</f>
        <v/>
      </c>
      <c r="B16" s="9">
        <f t="array" ref="B16">IFERROR(INDEX(Auction!$B$5:$B$1000,SMALL(IF(Auction!$C$5:$C$1000=$A$1,ROW(Auction!$C$5:$C$1000)-ROW(Auction!$C$5)+1),ROWS($A$9:A16))),"")</f>
        <v/>
      </c>
      <c r="C16" s="10">
        <f>IFERROR(T(VLOOKUP($A16,Players!$A:$E,2,FALSE)),"")</f>
        <v/>
      </c>
      <c r="D16" s="10">
        <f>IFERROR(T(VLOOKUP($A16,Players!$A:$E,3,FALSE)),"")</f>
        <v/>
      </c>
      <c r="E16" s="8">
        <f>IFERROR(T(VLOOKUP($A16,Players!$A:$E,4,FALSE)),"")</f>
        <v/>
      </c>
      <c r="F16" s="8">
        <f>IFERROR(T(VLOOKUP($A16,Players!$A:$E,5,FALSE)),"")</f>
        <v/>
      </c>
    </row>
    <row r="17">
      <c r="A17" s="5">
        <f t="array" ref="A17">IFERROR(INDEX(Auction!$A$5:$A$1000,SMALL(IF(Auction!$C$5:$C$1000=$A$1,ROW(Auction!$C$5:$C$1000)-ROW(Auction!$C$5)+1),ROWS($A$9:A17))),"")</f>
        <v/>
      </c>
      <c r="B17" s="6">
        <f t="array" ref="B17">IFERROR(INDEX(Auction!$B$5:$B$1000,SMALL(IF(Auction!$C$5:$C$1000=$A$1,ROW(Auction!$C$5:$C$1000)-ROW(Auction!$C$5)+1),ROWS($A$9:A17))),"")</f>
        <v/>
      </c>
      <c r="C17" s="7">
        <f>IFERROR(T(VLOOKUP($A17,Players!$A:$E,2,FALSE)),"")</f>
        <v/>
      </c>
      <c r="D17" s="7">
        <f>IFERROR(T(VLOOKUP($A17,Players!$A:$E,3,FALSE)),"")</f>
        <v/>
      </c>
      <c r="E17" s="5">
        <f>IFERROR(T(VLOOKUP($A17,Players!$A:$E,4,FALSE)),"")</f>
        <v/>
      </c>
      <c r="F17" s="5">
        <f>IFERROR(T(VLOOKUP($A17,Players!$A:$E,5,FALSE)),"")</f>
        <v/>
      </c>
    </row>
    <row r="18">
      <c r="A18" s="8">
        <f t="array" ref="A18">IFERROR(INDEX(Auction!$A$5:$A$1000,SMALL(IF(Auction!$C$5:$C$1000=$A$1,ROW(Auction!$C$5:$C$1000)-ROW(Auction!$C$5)+1),ROWS($A$9:A18))),"")</f>
        <v/>
      </c>
      <c r="B18" s="9">
        <f t="array" ref="B18">IFERROR(INDEX(Auction!$B$5:$B$1000,SMALL(IF(Auction!$C$5:$C$1000=$A$1,ROW(Auction!$C$5:$C$1000)-ROW(Auction!$C$5)+1),ROWS($A$9:A18))),"")</f>
        <v/>
      </c>
      <c r="C18" s="10">
        <f>IFERROR(T(VLOOKUP($A18,Players!$A:$E,2,FALSE)),"")</f>
        <v/>
      </c>
      <c r="D18" s="10">
        <f>IFERROR(T(VLOOKUP($A18,Players!$A:$E,3,FALSE)),"")</f>
        <v/>
      </c>
      <c r="E18" s="8">
        <f>IFERROR(T(VLOOKUP($A18,Players!$A:$E,4,FALSE)),"")</f>
        <v/>
      </c>
      <c r="F18" s="8">
        <f>IFERROR(T(VLOOKUP($A18,Players!$A:$E,5,FALSE)),"")</f>
        <v/>
      </c>
    </row>
    <row r="19">
      <c r="A19" s="5">
        <f t="array" ref="A19">IFERROR(INDEX(Auction!$A$5:$A$1000,SMALL(IF(Auction!$C$5:$C$1000=$A$1,ROW(Auction!$C$5:$C$1000)-ROW(Auction!$C$5)+1),ROWS($A$9:A19))),"")</f>
        <v/>
      </c>
      <c r="B19" s="6">
        <f t="array" ref="B19">IFERROR(INDEX(Auction!$B$5:$B$1000,SMALL(IF(Auction!$C$5:$C$1000=$A$1,ROW(Auction!$C$5:$C$1000)-ROW(Auction!$C$5)+1),ROWS($A$9:A19))),"")</f>
        <v/>
      </c>
      <c r="C19" s="7">
        <f>IFERROR(T(VLOOKUP($A19,Players!$A:$E,2,FALSE)),"")</f>
        <v/>
      </c>
      <c r="D19" s="7">
        <f>IFERROR(T(VLOOKUP($A19,Players!$A:$E,3,FALSE)),"")</f>
        <v/>
      </c>
      <c r="E19" s="5">
        <f>IFERROR(T(VLOOKUP($A19,Players!$A:$E,4,FALSE)),"")</f>
        <v/>
      </c>
      <c r="F19" s="5">
        <f>IFERROR(T(VLOOKUP($A19,Players!$A:$E,5,FALSE)),"")</f>
        <v/>
      </c>
    </row>
    <row r="20">
      <c r="A20" s="8">
        <f t="array" ref="A20">IFERROR(INDEX(Auction!$A$5:$A$1000,SMALL(IF(Auction!$C$5:$C$1000=$A$1,ROW(Auction!$C$5:$C$1000)-ROW(Auction!$C$5)+1),ROWS($A$9:A20))),"")</f>
        <v/>
      </c>
      <c r="B20" s="9">
        <f t="array" ref="B20">IFERROR(INDEX(Auction!$B$5:$B$1000,SMALL(IF(Auction!$C$5:$C$1000=$A$1,ROW(Auction!$C$5:$C$1000)-ROW(Auction!$C$5)+1),ROWS($A$9:A20))),"")</f>
        <v/>
      </c>
      <c r="C20" s="10">
        <f>IFERROR(T(VLOOKUP($A20,Players!$A:$E,2,FALSE)),"")</f>
        <v/>
      </c>
      <c r="D20" s="10">
        <f>IFERROR(T(VLOOKUP($A20,Players!$A:$E,3,FALSE)),"")</f>
        <v/>
      </c>
      <c r="E20" s="8">
        <f>IFERROR(T(VLOOKUP($A20,Players!$A:$E,4,FALSE)),"")</f>
        <v/>
      </c>
      <c r="F20" s="8">
        <f>IFERROR(T(VLOOKUP($A20,Players!$A:$E,5,FALSE)),"")</f>
        <v/>
      </c>
    </row>
    <row r="21">
      <c r="A21" s="5">
        <f t="array" ref="A21">IFERROR(INDEX(Auction!$A$5:$A$1000,SMALL(IF(Auction!$C$5:$C$1000=$A$1,ROW(Auction!$C$5:$C$1000)-ROW(Auction!$C$5)+1),ROWS($A$9:A21))),"")</f>
        <v/>
      </c>
      <c r="B21" s="6">
        <f t="array" ref="B21">IFERROR(INDEX(Auction!$B$5:$B$1000,SMALL(IF(Auction!$C$5:$C$1000=$A$1,ROW(Auction!$C$5:$C$1000)-ROW(Auction!$C$5)+1),ROWS($A$9:A21))),"")</f>
        <v/>
      </c>
      <c r="C21" s="7">
        <f>IFERROR(T(VLOOKUP($A21,Players!$A:$E,2,FALSE)),"")</f>
        <v/>
      </c>
      <c r="D21" s="7">
        <f>IFERROR(T(VLOOKUP($A21,Players!$A:$E,3,FALSE)),"")</f>
        <v/>
      </c>
      <c r="E21" s="5">
        <f>IFERROR(T(VLOOKUP($A21,Players!$A:$E,4,FALSE)),"")</f>
        <v/>
      </c>
      <c r="F21" s="5">
        <f>IFERROR(T(VLOOKUP($A21,Players!$A:$E,5,FALSE)),"")</f>
        <v/>
      </c>
    </row>
    <row r="22">
      <c r="A22" s="8">
        <f t="array" ref="A22">IFERROR(INDEX(Auction!$A$5:$A$1000,SMALL(IF(Auction!$C$5:$C$1000=$A$1,ROW(Auction!$C$5:$C$1000)-ROW(Auction!$C$5)+1),ROWS($A$9:A22))),"")</f>
        <v/>
      </c>
      <c r="B22" s="9">
        <f t="array" ref="B22">IFERROR(INDEX(Auction!$B$5:$B$1000,SMALL(IF(Auction!$C$5:$C$1000=$A$1,ROW(Auction!$C$5:$C$1000)-ROW(Auction!$C$5)+1),ROWS($A$9:A22))),"")</f>
        <v/>
      </c>
      <c r="C22" s="10">
        <f>IFERROR(T(VLOOKUP($A22,Players!$A:$E,2,FALSE)),"")</f>
        <v/>
      </c>
      <c r="D22" s="10">
        <f>IFERROR(T(VLOOKUP($A22,Players!$A:$E,3,FALSE)),"")</f>
        <v/>
      </c>
      <c r="E22" s="8">
        <f>IFERROR(T(VLOOKUP($A22,Players!$A:$E,4,FALSE)),"")</f>
        <v/>
      </c>
      <c r="F22" s="8">
        <f>IFERROR(T(VLOOKUP($A22,Players!$A:$E,5,FALSE)),"")</f>
        <v/>
      </c>
    </row>
    <row r="23">
      <c r="A23" s="5">
        <f t="array" ref="A23">IFERROR(INDEX(Auction!$A$5:$A$1000,SMALL(IF(Auction!$C$5:$C$1000=$A$1,ROW(Auction!$C$5:$C$1000)-ROW(Auction!$C$5)+1),ROWS($A$9:A23))),"")</f>
        <v/>
      </c>
      <c r="B23" s="6">
        <f t="array" ref="B23">IFERROR(INDEX(Auction!$B$5:$B$1000,SMALL(IF(Auction!$C$5:$C$1000=$A$1,ROW(Auction!$C$5:$C$1000)-ROW(Auction!$C$5)+1),ROWS($A$9:A23))),"")</f>
        <v/>
      </c>
      <c r="C23" s="7">
        <f>IFERROR(T(VLOOKUP($A23,Players!$A:$E,2,FALSE)),"")</f>
        <v/>
      </c>
      <c r="D23" s="7">
        <f>IFERROR(T(VLOOKUP($A23,Players!$A:$E,3,FALSE)),"")</f>
        <v/>
      </c>
      <c r="E23" s="5">
        <f>IFERROR(T(VLOOKUP($A23,Players!$A:$E,4,FALSE)),"")</f>
        <v/>
      </c>
      <c r="F23" s="5">
        <f>IFERROR(T(VLOOKUP($A23,Players!$A:$E,5,FALSE)),"")</f>
        <v/>
      </c>
    </row>
    <row r="24">
      <c r="A24" s="8">
        <f t="array" ref="A24">IFERROR(INDEX(Auction!$A$5:$A$1000,SMALL(IF(Auction!$C$5:$C$1000=$A$1,ROW(Auction!$C$5:$C$1000)-ROW(Auction!$C$5)+1),ROWS($A$9:A24))),"")</f>
        <v/>
      </c>
      <c r="B24" s="9">
        <f t="array" ref="B24">IFERROR(INDEX(Auction!$B$5:$B$1000,SMALL(IF(Auction!$C$5:$C$1000=$A$1,ROW(Auction!$C$5:$C$1000)-ROW(Auction!$C$5)+1),ROWS($A$9:A24))),"")</f>
        <v/>
      </c>
      <c r="C24" s="10">
        <f>IFERROR(T(VLOOKUP($A24,Players!$A:$E,2,FALSE)),"")</f>
        <v/>
      </c>
      <c r="D24" s="10">
        <f>IFERROR(T(VLOOKUP($A24,Players!$A:$E,3,FALSE)),"")</f>
        <v/>
      </c>
      <c r="E24" s="8">
        <f>IFERROR(T(VLOOKUP($A24,Players!$A:$E,4,FALSE)),"")</f>
        <v/>
      </c>
      <c r="F24" s="8">
        <f>IFERROR(T(VLOOKUP($A24,Players!$A:$E,5,FALSE)),"")</f>
        <v/>
      </c>
    </row>
    <row r="25">
      <c r="A25" s="5">
        <f t="array" ref="A25">IFERROR(INDEX(Auction!$A$5:$A$1000,SMALL(IF(Auction!$C$5:$C$1000=$A$1,ROW(Auction!$C$5:$C$1000)-ROW(Auction!$C$5)+1),ROWS($A$9:A25))),"")</f>
        <v/>
      </c>
      <c r="B25" s="6">
        <f t="array" ref="B25">IFERROR(INDEX(Auction!$B$5:$B$1000,SMALL(IF(Auction!$C$5:$C$1000=$A$1,ROW(Auction!$C$5:$C$1000)-ROW(Auction!$C$5)+1),ROWS($A$9:A25))),"")</f>
        <v/>
      </c>
      <c r="C25" s="7">
        <f>IFERROR(T(VLOOKUP($A25,Players!$A:$E,2,FALSE)),"")</f>
        <v/>
      </c>
      <c r="D25" s="7">
        <f>IFERROR(T(VLOOKUP($A25,Players!$A:$E,3,FALSE)),"")</f>
        <v/>
      </c>
      <c r="E25" s="5">
        <f>IFERROR(T(VLOOKUP($A25,Players!$A:$E,4,FALSE)),"")</f>
        <v/>
      </c>
      <c r="F25" s="5">
        <f>IFERROR(T(VLOOKUP($A25,Players!$A:$E,5,FALSE)),"")</f>
        <v/>
      </c>
    </row>
    <row r="26">
      <c r="A26" s="8">
        <f t="array" ref="A26">IFERROR(INDEX(Auction!$A$5:$A$1000,SMALL(IF(Auction!$C$5:$C$1000=$A$1,ROW(Auction!$C$5:$C$1000)-ROW(Auction!$C$5)+1),ROWS($A$9:A26))),"")</f>
        <v/>
      </c>
      <c r="B26" s="9">
        <f t="array" ref="B26">IFERROR(INDEX(Auction!$B$5:$B$1000,SMALL(IF(Auction!$C$5:$C$1000=$A$1,ROW(Auction!$C$5:$C$1000)-ROW(Auction!$C$5)+1),ROWS($A$9:A26))),"")</f>
        <v/>
      </c>
      <c r="C26" s="10">
        <f>IFERROR(T(VLOOKUP($A26,Players!$A:$E,2,FALSE)),"")</f>
        <v/>
      </c>
      <c r="D26" s="10">
        <f>IFERROR(T(VLOOKUP($A26,Players!$A:$E,3,FALSE)),"")</f>
        <v/>
      </c>
      <c r="E26" s="8">
        <f>IFERROR(T(VLOOKUP($A26,Players!$A:$E,4,FALSE)),"")</f>
        <v/>
      </c>
      <c r="F26" s="8">
        <f>IFERROR(T(VLOOKUP($A26,Players!$A:$E,5,FALSE)),"")</f>
        <v/>
      </c>
    </row>
    <row r="27">
      <c r="A27" s="5">
        <f t="array" ref="A27">IFERROR(INDEX(Auction!$A$5:$A$1000,SMALL(IF(Auction!$C$5:$C$1000=$A$1,ROW(Auction!$C$5:$C$1000)-ROW(Auction!$C$5)+1),ROWS($A$9:A27))),"")</f>
        <v/>
      </c>
      <c r="B27" s="6">
        <f t="array" ref="B27">IFERROR(INDEX(Auction!$B$5:$B$1000,SMALL(IF(Auction!$C$5:$C$1000=$A$1,ROW(Auction!$C$5:$C$1000)-ROW(Auction!$C$5)+1),ROWS($A$9:A27))),"")</f>
        <v/>
      </c>
      <c r="C27" s="7">
        <f>IFERROR(T(VLOOKUP($A27,Players!$A:$E,2,FALSE)),"")</f>
        <v/>
      </c>
      <c r="D27" s="7">
        <f>IFERROR(T(VLOOKUP($A27,Players!$A:$E,3,FALSE)),"")</f>
        <v/>
      </c>
      <c r="E27" s="5">
        <f>IFERROR(T(VLOOKUP($A27,Players!$A:$E,4,FALSE)),"")</f>
        <v/>
      </c>
      <c r="F27" s="5">
        <f>IFERROR(T(VLOOKUP($A27,Players!$A:$E,5,FALSE)),"")</f>
        <v/>
      </c>
    </row>
    <row r="28">
      <c r="A28" s="8">
        <f t="array" ref="A28">IFERROR(INDEX(Auction!$A$5:$A$1000,SMALL(IF(Auction!$C$5:$C$1000=$A$1,ROW(Auction!$C$5:$C$1000)-ROW(Auction!$C$5)+1),ROWS($A$9:A28))),"")</f>
        <v/>
      </c>
      <c r="B28" s="9">
        <f t="array" ref="B28">IFERROR(INDEX(Auction!$B$5:$B$1000,SMALL(IF(Auction!$C$5:$C$1000=$A$1,ROW(Auction!$C$5:$C$1000)-ROW(Auction!$C$5)+1),ROWS($A$9:A28))),"")</f>
        <v/>
      </c>
      <c r="C28" s="10">
        <f>IFERROR(T(VLOOKUP($A28,Players!$A:$E,2,FALSE)),"")</f>
        <v/>
      </c>
      <c r="D28" s="10">
        <f>IFERROR(T(VLOOKUP($A28,Players!$A:$E,3,FALSE)),"")</f>
        <v/>
      </c>
      <c r="E28" s="8">
        <f>IFERROR(T(VLOOKUP($A28,Players!$A:$E,4,FALSE)),"")</f>
        <v/>
      </c>
      <c r="F28" s="8">
        <f>IFERROR(T(VLOOKUP($A28,Players!$A:$E,5,FALSE)),"")</f>
        <v/>
      </c>
    </row>
    <row r="29">
      <c r="A29" s="5">
        <f t="array" ref="A29">IFERROR(INDEX(Auction!$A$5:$A$1000,SMALL(IF(Auction!$C$5:$C$1000=$A$1,ROW(Auction!$C$5:$C$1000)-ROW(Auction!$C$5)+1),ROWS($A$9:A29))),"")</f>
        <v/>
      </c>
      <c r="B29" s="6">
        <f t="array" ref="B29">IFERROR(INDEX(Auction!$B$5:$B$1000,SMALL(IF(Auction!$C$5:$C$1000=$A$1,ROW(Auction!$C$5:$C$1000)-ROW(Auction!$C$5)+1),ROWS($A$9:A29))),"")</f>
        <v/>
      </c>
      <c r="C29" s="7">
        <f>IFERROR(T(VLOOKUP($A29,Players!$A:$E,2,FALSE)),"")</f>
        <v/>
      </c>
      <c r="D29" s="7">
        <f>IFERROR(T(VLOOKUP($A29,Players!$A:$E,3,FALSE)),"")</f>
        <v/>
      </c>
      <c r="E29" s="5">
        <f>IFERROR(T(VLOOKUP($A29,Players!$A:$E,4,FALSE)),"")</f>
        <v/>
      </c>
      <c r="F29" s="5">
        <f>IFERROR(T(VLOOKUP($A29,Players!$A:$E,5,FALSE)),"")</f>
        <v/>
      </c>
    </row>
    <row r="30">
      <c r="A30" s="8">
        <f t="array" ref="A30">IFERROR(INDEX(Auction!$A$5:$A$1000,SMALL(IF(Auction!$C$5:$C$1000=$A$1,ROW(Auction!$C$5:$C$1000)-ROW(Auction!$C$5)+1),ROWS($A$9:A30))),"")</f>
        <v/>
      </c>
      <c r="B30" s="9">
        <f t="array" ref="B30">IFERROR(INDEX(Auction!$B$5:$B$1000,SMALL(IF(Auction!$C$5:$C$1000=$A$1,ROW(Auction!$C$5:$C$1000)-ROW(Auction!$C$5)+1),ROWS($A$9:A30))),"")</f>
        <v/>
      </c>
      <c r="C30" s="10">
        <f>IFERROR(T(VLOOKUP($A30,Players!$A:$E,2,FALSE)),"")</f>
        <v/>
      </c>
      <c r="D30" s="10">
        <f>IFERROR(T(VLOOKUP($A30,Players!$A:$E,3,FALSE)),"")</f>
        <v/>
      </c>
      <c r="E30" s="8">
        <f>IFERROR(T(VLOOKUP($A30,Players!$A:$E,4,FALSE)),"")</f>
        <v/>
      </c>
      <c r="F30" s="8">
        <f>IFERROR(T(VLOOKUP($A30,Players!$A:$E,5,FALSE)),"")</f>
        <v/>
      </c>
    </row>
    <row r="31">
      <c r="A31" s="5">
        <f t="array" ref="A31">IFERROR(INDEX(Auction!$A$5:$A$1000,SMALL(IF(Auction!$C$5:$C$1000=$A$1,ROW(Auction!$C$5:$C$1000)-ROW(Auction!$C$5)+1),ROWS($A$9:A31))),"")</f>
        <v/>
      </c>
      <c r="B31" s="6">
        <f t="array" ref="B31">IFERROR(INDEX(Auction!$B$5:$B$1000,SMALL(IF(Auction!$C$5:$C$1000=$A$1,ROW(Auction!$C$5:$C$1000)-ROW(Auction!$C$5)+1),ROWS($A$9:A31))),"")</f>
        <v/>
      </c>
      <c r="C31" s="7">
        <f>IFERROR(T(VLOOKUP($A31,Players!$A:$E,2,FALSE)),"")</f>
        <v/>
      </c>
      <c r="D31" s="7">
        <f>IFERROR(T(VLOOKUP($A31,Players!$A:$E,3,FALSE)),"")</f>
        <v/>
      </c>
      <c r="E31" s="5">
        <f>IFERROR(T(VLOOKUP($A31,Players!$A:$E,4,FALSE)),"")</f>
        <v/>
      </c>
      <c r="F31" s="5">
        <f>IFERROR(T(VLOOKUP($A31,Players!$A:$E,5,FALSE)),"")</f>
        <v/>
      </c>
    </row>
    <row r="32">
      <c r="A32" s="8">
        <f t="array" ref="A32">IFERROR(INDEX(Auction!$A$5:$A$1000,SMALL(IF(Auction!$C$5:$C$1000=$A$1,ROW(Auction!$C$5:$C$1000)-ROW(Auction!$C$5)+1),ROWS($A$9:A32))),"")</f>
        <v/>
      </c>
      <c r="B32" s="9">
        <f t="array" ref="B32">IFERROR(INDEX(Auction!$B$5:$B$1000,SMALL(IF(Auction!$C$5:$C$1000=$A$1,ROW(Auction!$C$5:$C$1000)-ROW(Auction!$C$5)+1),ROWS($A$9:A32))),"")</f>
        <v/>
      </c>
      <c r="C32" s="10">
        <f>IFERROR(T(VLOOKUP($A32,Players!$A:$E,2,FALSE)),"")</f>
        <v/>
      </c>
      <c r="D32" s="10">
        <f>IFERROR(T(VLOOKUP($A32,Players!$A:$E,3,FALSE)),"")</f>
        <v/>
      </c>
      <c r="E32" s="8">
        <f>IFERROR(T(VLOOKUP($A32,Players!$A:$E,4,FALSE)),"")</f>
        <v/>
      </c>
      <c r="F32" s="8">
        <f>IFERROR(T(VLOOKUP($A32,Players!$A:$E,5,FALSE)),"")</f>
        <v/>
      </c>
    </row>
    <row r="33">
      <c r="A33" s="5">
        <f t="array" ref="A33">IFERROR(INDEX(Auction!$A$5:$A$1000,SMALL(IF(Auction!$C$5:$C$1000=$A$1,ROW(Auction!$C$5:$C$1000)-ROW(Auction!$C$5)+1),ROWS($A$9:A33))),"")</f>
        <v/>
      </c>
      <c r="B33" s="6">
        <f t="array" ref="B33">IFERROR(INDEX(Auction!$B$5:$B$1000,SMALL(IF(Auction!$C$5:$C$1000=$A$1,ROW(Auction!$C$5:$C$1000)-ROW(Auction!$C$5)+1),ROWS($A$9:A33))),"")</f>
        <v/>
      </c>
      <c r="C33" s="7">
        <f>IFERROR(T(VLOOKUP($A33,Players!$A:$E,2,FALSE)),"")</f>
        <v/>
      </c>
      <c r="D33" s="7">
        <f>IFERROR(T(VLOOKUP($A33,Players!$A:$E,3,FALSE)),"")</f>
        <v/>
      </c>
      <c r="E33" s="5">
        <f>IFERROR(T(VLOOKUP($A33,Players!$A:$E,4,FALSE)),"")</f>
        <v/>
      </c>
      <c r="F33" s="5">
        <f>IFERROR(T(VLOOKUP($A33,Players!$A:$E,5,FALSE)),"")</f>
        <v/>
      </c>
    </row>
    <row r="34">
      <c r="A34" s="8">
        <f t="array" ref="A34">IFERROR(INDEX(Auction!$A$5:$A$1000,SMALL(IF(Auction!$C$5:$C$1000=$A$1,ROW(Auction!$C$5:$C$1000)-ROW(Auction!$C$5)+1),ROWS($A$9:A34))),"")</f>
        <v/>
      </c>
      <c r="B34" s="9">
        <f t="array" ref="B34">IFERROR(INDEX(Auction!$B$5:$B$1000,SMALL(IF(Auction!$C$5:$C$1000=$A$1,ROW(Auction!$C$5:$C$1000)-ROW(Auction!$C$5)+1),ROWS($A$9:A34))),"")</f>
        <v/>
      </c>
      <c r="C34" s="10">
        <f>IFERROR(T(VLOOKUP($A34,Players!$A:$E,2,FALSE)),"")</f>
        <v/>
      </c>
      <c r="D34" s="10">
        <f>IFERROR(T(VLOOKUP($A34,Players!$A:$E,3,FALSE)),"")</f>
        <v/>
      </c>
      <c r="E34" s="8">
        <f>IFERROR(T(VLOOKUP($A34,Players!$A:$E,4,FALSE)),"")</f>
        <v/>
      </c>
      <c r="F34" s="8">
        <f>IFERROR(T(VLOOKUP($A34,Players!$A:$E,5,FALSE)),"")</f>
        <v/>
      </c>
    </row>
    <row r="35">
      <c r="A35" s="5">
        <f t="array" ref="A35">IFERROR(INDEX(Auction!$A$5:$A$1000,SMALL(IF(Auction!$C$5:$C$1000=$A$1,ROW(Auction!$C$5:$C$1000)-ROW(Auction!$C$5)+1),ROWS($A$9:A35))),"")</f>
        <v/>
      </c>
      <c r="B35" s="6">
        <f t="array" ref="B35">IFERROR(INDEX(Auction!$B$5:$B$1000,SMALL(IF(Auction!$C$5:$C$1000=$A$1,ROW(Auction!$C$5:$C$1000)-ROW(Auction!$C$5)+1),ROWS($A$9:A35))),"")</f>
        <v/>
      </c>
      <c r="C35" s="7">
        <f>IFERROR(T(VLOOKUP($A35,Players!$A:$E,2,FALSE)),"")</f>
        <v/>
      </c>
      <c r="D35" s="7">
        <f>IFERROR(T(VLOOKUP($A35,Players!$A:$E,3,FALSE)),"")</f>
        <v/>
      </c>
      <c r="E35" s="5">
        <f>IFERROR(T(VLOOKUP($A35,Players!$A:$E,4,FALSE)),"")</f>
        <v/>
      </c>
      <c r="F35" s="5">
        <f>IFERROR(T(VLOOKUP($A35,Players!$A:$E,5,FALSE)),"")</f>
        <v/>
      </c>
    </row>
    <row r="36">
      <c r="A36" s="8">
        <f t="array" ref="A36">IFERROR(INDEX(Auction!$A$5:$A$1000,SMALL(IF(Auction!$C$5:$C$1000=$A$1,ROW(Auction!$C$5:$C$1000)-ROW(Auction!$C$5)+1),ROWS($A$9:A36))),"")</f>
        <v/>
      </c>
      <c r="B36" s="9">
        <f t="array" ref="B36">IFERROR(INDEX(Auction!$B$5:$B$1000,SMALL(IF(Auction!$C$5:$C$1000=$A$1,ROW(Auction!$C$5:$C$1000)-ROW(Auction!$C$5)+1),ROWS($A$9:A36))),"")</f>
        <v/>
      </c>
      <c r="C36" s="10">
        <f>IFERROR(T(VLOOKUP($A36,Players!$A:$E,2,FALSE)),"")</f>
        <v/>
      </c>
      <c r="D36" s="10">
        <f>IFERROR(T(VLOOKUP($A36,Players!$A:$E,3,FALSE)),"")</f>
        <v/>
      </c>
      <c r="E36" s="8">
        <f>IFERROR(T(VLOOKUP($A36,Players!$A:$E,4,FALSE)),"")</f>
        <v/>
      </c>
      <c r="F36" s="8">
        <f>IFERROR(T(VLOOKUP($A36,Players!$A:$E,5,FALSE)),"")</f>
        <v/>
      </c>
    </row>
    <row r="37">
      <c r="A37" s="5">
        <f t="array" ref="A37">IFERROR(INDEX(Auction!$A$5:$A$1000,SMALL(IF(Auction!$C$5:$C$1000=$A$1,ROW(Auction!$C$5:$C$1000)-ROW(Auction!$C$5)+1),ROWS($A$9:A37))),"")</f>
        <v/>
      </c>
      <c r="B37" s="6">
        <f t="array" ref="B37">IFERROR(INDEX(Auction!$B$5:$B$1000,SMALL(IF(Auction!$C$5:$C$1000=$A$1,ROW(Auction!$C$5:$C$1000)-ROW(Auction!$C$5)+1),ROWS($A$9:A37))),"")</f>
        <v/>
      </c>
      <c r="C37" s="7">
        <f>IFERROR(T(VLOOKUP($A37,Players!$A:$E,2,FALSE)),"")</f>
        <v/>
      </c>
      <c r="D37" s="7">
        <f>IFERROR(T(VLOOKUP($A37,Players!$A:$E,3,FALSE)),"")</f>
        <v/>
      </c>
      <c r="E37" s="5">
        <f>IFERROR(T(VLOOKUP($A37,Players!$A:$E,4,FALSE)),"")</f>
        <v/>
      </c>
      <c r="F37" s="5">
        <f>IFERROR(T(VLOOKUP($A37,Players!$A:$E,5,FALSE)),"")</f>
        <v/>
      </c>
    </row>
    <row r="38">
      <c r="A38" s="8">
        <f t="array" ref="A38">IFERROR(INDEX(Auction!$A$5:$A$1000,SMALL(IF(Auction!$C$5:$C$1000=$A$1,ROW(Auction!$C$5:$C$1000)-ROW(Auction!$C$5)+1),ROWS($A$9:A38))),"")</f>
        <v/>
      </c>
      <c r="B38" s="9">
        <f t="array" ref="B38">IFERROR(INDEX(Auction!$B$5:$B$1000,SMALL(IF(Auction!$C$5:$C$1000=$A$1,ROW(Auction!$C$5:$C$1000)-ROW(Auction!$C$5)+1),ROWS($A$9:A38))),"")</f>
        <v/>
      </c>
      <c r="C38" s="10">
        <f>IFERROR(T(VLOOKUP($A38,Players!$A:$E,2,FALSE)),"")</f>
        <v/>
      </c>
      <c r="D38" s="10">
        <f>IFERROR(T(VLOOKUP($A38,Players!$A:$E,3,FALSE)),"")</f>
        <v/>
      </c>
      <c r="E38" s="8">
        <f>IFERROR(T(VLOOKUP($A38,Players!$A:$E,4,FALSE)),"")</f>
        <v/>
      </c>
      <c r="F38" s="8">
        <f>IFERROR(T(VLOOKUP($A38,Players!$A:$E,5,FALSE)),"")</f>
        <v/>
      </c>
    </row>
    <row r="39">
      <c r="A39" s="5">
        <f t="array" ref="A39">IFERROR(INDEX(Auction!$A$5:$A$1000,SMALL(IF(Auction!$C$5:$C$1000=$A$1,ROW(Auction!$C$5:$C$1000)-ROW(Auction!$C$5)+1),ROWS($A$9:A39))),"")</f>
        <v/>
      </c>
      <c r="B39" s="6">
        <f t="array" ref="B39">IFERROR(INDEX(Auction!$B$5:$B$1000,SMALL(IF(Auction!$C$5:$C$1000=$A$1,ROW(Auction!$C$5:$C$1000)-ROW(Auction!$C$5)+1),ROWS($A$9:A39))),"")</f>
        <v/>
      </c>
      <c r="C39" s="7">
        <f>IFERROR(T(VLOOKUP($A39,Players!$A:$E,2,FALSE)),"")</f>
        <v/>
      </c>
      <c r="D39" s="7">
        <f>IFERROR(T(VLOOKUP($A39,Players!$A:$E,3,FALSE)),"")</f>
        <v/>
      </c>
      <c r="E39" s="5">
        <f>IFERROR(T(VLOOKUP($A39,Players!$A:$E,4,FALSE)),"")</f>
        <v/>
      </c>
      <c r="F39" s="5">
        <f>IFERROR(T(VLOOKUP($A39,Players!$A:$E,5,FALSE)),"")</f>
        <v/>
      </c>
    </row>
    <row r="40">
      <c r="A40" s="8">
        <f t="array" ref="A40">IFERROR(INDEX(Auction!$A$5:$A$1000,SMALL(IF(Auction!$C$5:$C$1000=$A$1,ROW(Auction!$C$5:$C$1000)-ROW(Auction!$C$5)+1),ROWS($A$9:A40))),"")</f>
        <v/>
      </c>
      <c r="B40" s="9">
        <f t="array" ref="B40">IFERROR(INDEX(Auction!$B$5:$B$1000,SMALL(IF(Auction!$C$5:$C$1000=$A$1,ROW(Auction!$C$5:$C$1000)-ROW(Auction!$C$5)+1),ROWS($A$9:A40))),"")</f>
        <v/>
      </c>
      <c r="C40" s="10">
        <f>IFERROR(T(VLOOKUP($A40,Players!$A:$E,2,FALSE)),"")</f>
        <v/>
      </c>
      <c r="D40" s="10">
        <f>IFERROR(T(VLOOKUP($A40,Players!$A:$E,3,FALSE)),"")</f>
        <v/>
      </c>
      <c r="E40" s="8">
        <f>IFERROR(T(VLOOKUP($A40,Players!$A:$E,4,FALSE)),"")</f>
        <v/>
      </c>
      <c r="F40" s="8">
        <f>IFERROR(T(VLOOKUP($A40,Players!$A:$E,5,FALSE)),"")</f>
        <v/>
      </c>
    </row>
    <row r="41">
      <c r="A41" s="5">
        <f t="array" ref="A41">IFERROR(INDEX(Auction!$A$5:$A$1000,SMALL(IF(Auction!$C$5:$C$1000=$A$1,ROW(Auction!$C$5:$C$1000)-ROW(Auction!$C$5)+1),ROWS($A$9:A41))),"")</f>
        <v/>
      </c>
      <c r="B41" s="6">
        <f t="array" ref="B41">IFERROR(INDEX(Auction!$B$5:$B$1000,SMALL(IF(Auction!$C$5:$C$1000=$A$1,ROW(Auction!$C$5:$C$1000)-ROW(Auction!$C$5)+1),ROWS($A$9:A41))),"")</f>
        <v/>
      </c>
      <c r="C41" s="7">
        <f>IFERROR(T(VLOOKUP($A41,Players!$A:$E,2,FALSE)),"")</f>
        <v/>
      </c>
      <c r="D41" s="7">
        <f>IFERROR(T(VLOOKUP($A41,Players!$A:$E,3,FALSE)),"")</f>
        <v/>
      </c>
      <c r="E41" s="5">
        <f>IFERROR(T(VLOOKUP($A41,Players!$A:$E,4,FALSE)),"")</f>
        <v/>
      </c>
      <c r="F41" s="5">
        <f>IFERROR(T(VLOOKUP($A41,Players!$A:$E,5,FALSE)),"")</f>
        <v/>
      </c>
    </row>
    <row r="42">
      <c r="A42" s="8">
        <f t="array" ref="A42">IFERROR(INDEX(Auction!$A$5:$A$1000,SMALL(IF(Auction!$C$5:$C$1000=$A$1,ROW(Auction!$C$5:$C$1000)-ROW(Auction!$C$5)+1),ROWS($A$9:A42))),"")</f>
        <v/>
      </c>
      <c r="B42" s="9">
        <f t="array" ref="B42">IFERROR(INDEX(Auction!$B$5:$B$1000,SMALL(IF(Auction!$C$5:$C$1000=$A$1,ROW(Auction!$C$5:$C$1000)-ROW(Auction!$C$5)+1),ROWS($A$9:A42))),"")</f>
        <v/>
      </c>
      <c r="C42" s="10">
        <f>IFERROR(T(VLOOKUP($A42,Players!$A:$E,2,FALSE)),"")</f>
        <v/>
      </c>
      <c r="D42" s="10">
        <f>IFERROR(T(VLOOKUP($A42,Players!$A:$E,3,FALSE)),"")</f>
        <v/>
      </c>
      <c r="E42" s="8">
        <f>IFERROR(T(VLOOKUP($A42,Players!$A:$E,4,FALSE)),"")</f>
        <v/>
      </c>
      <c r="F42" s="8">
        <f>IFERROR(T(VLOOKUP($A42,Players!$A:$E,5,FALSE)),"")</f>
        <v/>
      </c>
    </row>
    <row r="43">
      <c r="A43" s="5">
        <f t="array" ref="A43">IFERROR(INDEX(Auction!$A$5:$A$1000,SMALL(IF(Auction!$C$5:$C$1000=$A$1,ROW(Auction!$C$5:$C$1000)-ROW(Auction!$C$5)+1),ROWS($A$9:A43))),"")</f>
        <v/>
      </c>
      <c r="B43" s="6">
        <f t="array" ref="B43">IFERROR(INDEX(Auction!$B$5:$B$1000,SMALL(IF(Auction!$C$5:$C$1000=$A$1,ROW(Auction!$C$5:$C$1000)-ROW(Auction!$C$5)+1),ROWS($A$9:A43))),"")</f>
        <v/>
      </c>
      <c r="C43" s="7">
        <f>IFERROR(T(VLOOKUP($A43,Players!$A:$E,2,FALSE)),"")</f>
        <v/>
      </c>
      <c r="D43" s="7">
        <f>IFERROR(T(VLOOKUP($A43,Players!$A:$E,3,FALSE)),"")</f>
        <v/>
      </c>
      <c r="E43" s="5">
        <f>IFERROR(T(VLOOKUP($A43,Players!$A:$E,4,FALSE)),"")</f>
        <v/>
      </c>
      <c r="F43" s="5">
        <f>IFERROR(T(VLOOKUP($A43,Players!$A:$E,5,FALSE)),"")</f>
        <v/>
      </c>
    </row>
    <row r="44">
      <c r="A44" s="8">
        <f t="array" ref="A44">IFERROR(INDEX(Auction!$A$5:$A$1000,SMALL(IF(Auction!$C$5:$C$1000=$A$1,ROW(Auction!$C$5:$C$1000)-ROW(Auction!$C$5)+1),ROWS($A$9:A44))),"")</f>
        <v/>
      </c>
      <c r="B44" s="9">
        <f t="array" ref="B44">IFERROR(INDEX(Auction!$B$5:$B$1000,SMALL(IF(Auction!$C$5:$C$1000=$A$1,ROW(Auction!$C$5:$C$1000)-ROW(Auction!$C$5)+1),ROWS($A$9:A44))),"")</f>
        <v/>
      </c>
      <c r="C44" s="10">
        <f>IFERROR(T(VLOOKUP($A44,Players!$A:$E,2,FALSE)),"")</f>
        <v/>
      </c>
      <c r="D44" s="10">
        <f>IFERROR(T(VLOOKUP($A44,Players!$A:$E,3,FALSE)),"")</f>
        <v/>
      </c>
      <c r="E44" s="8">
        <f>IFERROR(T(VLOOKUP($A44,Players!$A:$E,4,FALSE)),"")</f>
        <v/>
      </c>
      <c r="F44" s="8">
        <f>IFERROR(T(VLOOKUP($A44,Players!$A:$E,5,FALSE)),"")</f>
        <v/>
      </c>
    </row>
    <row r="45">
      <c r="A45" s="5">
        <f t="array" ref="A45">IFERROR(INDEX(Auction!$A$5:$A$1000,SMALL(IF(Auction!$C$5:$C$1000=$A$1,ROW(Auction!$C$5:$C$1000)-ROW(Auction!$C$5)+1),ROWS($A$9:A45))),"")</f>
        <v/>
      </c>
      <c r="B45" s="6">
        <f t="array" ref="B45">IFERROR(INDEX(Auction!$B$5:$B$1000,SMALL(IF(Auction!$C$5:$C$1000=$A$1,ROW(Auction!$C$5:$C$1000)-ROW(Auction!$C$5)+1),ROWS($A$9:A45))),"")</f>
        <v/>
      </c>
      <c r="C45" s="7">
        <f>IFERROR(T(VLOOKUP($A45,Players!$A:$E,2,FALSE)),"")</f>
        <v/>
      </c>
      <c r="D45" s="7">
        <f>IFERROR(T(VLOOKUP($A45,Players!$A:$E,3,FALSE)),"")</f>
        <v/>
      </c>
      <c r="E45" s="5">
        <f>IFERROR(T(VLOOKUP($A45,Players!$A:$E,4,FALSE)),"")</f>
        <v/>
      </c>
      <c r="F45" s="5">
        <f>IFERROR(T(VLOOKUP($A45,Players!$A:$E,5,FALSE)),"")</f>
        <v/>
      </c>
    </row>
    <row r="46">
      <c r="A46" s="8">
        <f t="array" ref="A46">IFERROR(INDEX(Auction!$A$5:$A$1000,SMALL(IF(Auction!$C$5:$C$1000=$A$1,ROW(Auction!$C$5:$C$1000)-ROW(Auction!$C$5)+1),ROWS($A$9:A46))),"")</f>
        <v/>
      </c>
      <c r="B46" s="9">
        <f t="array" ref="B46">IFERROR(INDEX(Auction!$B$5:$B$1000,SMALL(IF(Auction!$C$5:$C$1000=$A$1,ROW(Auction!$C$5:$C$1000)-ROW(Auction!$C$5)+1),ROWS($A$9:A46))),"")</f>
        <v/>
      </c>
      <c r="C46" s="10">
        <f>IFERROR(T(VLOOKUP($A46,Players!$A:$E,2,FALSE)),"")</f>
        <v/>
      </c>
      <c r="D46" s="10">
        <f>IFERROR(T(VLOOKUP($A46,Players!$A:$E,3,FALSE)),"")</f>
        <v/>
      </c>
      <c r="E46" s="8">
        <f>IFERROR(T(VLOOKUP($A46,Players!$A:$E,4,FALSE)),"")</f>
        <v/>
      </c>
      <c r="F46" s="8">
        <f>IFERROR(T(VLOOKUP($A46,Players!$A:$E,5,FALSE)),"")</f>
        <v/>
      </c>
    </row>
    <row r="47">
      <c r="A47" s="5">
        <f t="array" ref="A47">IFERROR(INDEX(Auction!$A$5:$A$1000,SMALL(IF(Auction!$C$5:$C$1000=$A$1,ROW(Auction!$C$5:$C$1000)-ROW(Auction!$C$5)+1),ROWS($A$9:A47))),"")</f>
        <v/>
      </c>
      <c r="B47" s="6">
        <f t="array" ref="B47">IFERROR(INDEX(Auction!$B$5:$B$1000,SMALL(IF(Auction!$C$5:$C$1000=$A$1,ROW(Auction!$C$5:$C$1000)-ROW(Auction!$C$5)+1),ROWS($A$9:A47))),"")</f>
        <v/>
      </c>
      <c r="C47" s="7">
        <f>IFERROR(T(VLOOKUP($A47,Players!$A:$E,2,FALSE)),"")</f>
        <v/>
      </c>
      <c r="D47" s="7">
        <f>IFERROR(T(VLOOKUP($A47,Players!$A:$E,3,FALSE)),"")</f>
        <v/>
      </c>
      <c r="E47" s="5">
        <f>IFERROR(T(VLOOKUP($A47,Players!$A:$E,4,FALSE)),"")</f>
        <v/>
      </c>
      <c r="F47" s="5">
        <f>IFERROR(T(VLOOKUP($A47,Players!$A:$E,5,FALSE)),"")</f>
        <v/>
      </c>
    </row>
    <row r="48">
      <c r="A48" s="8">
        <f t="array" ref="A48">IFERROR(INDEX(Auction!$A$5:$A$1000,SMALL(IF(Auction!$C$5:$C$1000=$A$1,ROW(Auction!$C$5:$C$1000)-ROW(Auction!$C$5)+1),ROWS($A$9:A48))),"")</f>
        <v/>
      </c>
      <c r="B48" s="9">
        <f t="array" ref="B48">IFERROR(INDEX(Auction!$B$5:$B$1000,SMALL(IF(Auction!$C$5:$C$1000=$A$1,ROW(Auction!$C$5:$C$1000)-ROW(Auction!$C$5)+1),ROWS($A$9:A48))),"")</f>
        <v/>
      </c>
      <c r="C48" s="10">
        <f>IFERROR(T(VLOOKUP($A48,Players!$A:$E,2,FALSE)),"")</f>
        <v/>
      </c>
      <c r="D48" s="10">
        <f>IFERROR(T(VLOOKUP($A48,Players!$A:$E,3,FALSE)),"")</f>
        <v/>
      </c>
      <c r="E48" s="8">
        <f>IFERROR(T(VLOOKUP($A48,Players!$A:$E,4,FALSE)),"")</f>
        <v/>
      </c>
      <c r="F48" s="8">
        <f>IFERROR(T(VLOOKUP($A48,Players!$A:$E,5,FALSE)),"")</f>
        <v/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555555"/>
    <outlinePr summaryBelow="1" summaryRight="1"/>
    <pageSetUpPr/>
  </sheetPr>
  <dimension ref="A1:G2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8" customWidth="1" min="3" max="3"/>
    <col width="14" customWidth="1" min="4" max="4"/>
    <col width="16" customWidth="1" min="5" max="5"/>
    <col width="9" customWidth="1" min="6" max="6"/>
    <col width="7" customWidth="1" min="7" max="7"/>
  </cols>
  <sheetData>
    <row r="1" ht="24" customHeight="1">
      <c r="A1" s="29" t="inlineStr">
        <is>
          <t>PLAYER INFO  (edit here — Role/Hand/Country/City feed the other sheets)</t>
        </is>
      </c>
    </row>
    <row r="2">
      <c r="A2" s="3" t="inlineStr">
        <is>
          <t>Player</t>
        </is>
      </c>
      <c r="B2" s="3" t="inlineStr">
        <is>
          <t>Role</t>
        </is>
      </c>
      <c r="C2" s="3" t="inlineStr">
        <is>
          <t>Hand</t>
        </is>
      </c>
      <c r="D2" s="3" t="inlineStr">
        <is>
          <t>Country</t>
        </is>
      </c>
      <c r="E2" s="3" t="inlineStr">
        <is>
          <t>City</t>
        </is>
      </c>
      <c r="F2" s="3" t="inlineStr">
        <is>
          <t>Base (Cr)</t>
        </is>
      </c>
      <c r="G2" s="3" t="inlineStr">
        <is>
          <t>Grade</t>
        </is>
      </c>
    </row>
    <row r="3">
      <c r="A3" s="5" t="inlineStr">
        <is>
          <t>Virat Kohli</t>
        </is>
      </c>
      <c r="B3" s="7" t="inlineStr">
        <is>
          <t>Batsman</t>
        </is>
      </c>
      <c r="C3" s="7" t="inlineStr">
        <is>
          <t>Right</t>
        </is>
      </c>
      <c r="D3" s="5" t="n"/>
      <c r="E3" s="5" t="n"/>
      <c r="F3" s="6" t="n">
        <v>3</v>
      </c>
      <c r="G3" s="7" t="inlineStr">
        <is>
          <t>A</t>
        </is>
      </c>
    </row>
    <row r="4">
      <c r="A4" s="8" t="inlineStr">
        <is>
          <t>Sai Sudharsan</t>
        </is>
      </c>
      <c r="B4" s="10" t="inlineStr">
        <is>
          <t>Batsman</t>
        </is>
      </c>
      <c r="C4" s="10" t="inlineStr">
        <is>
          <t>Left</t>
        </is>
      </c>
      <c r="D4" s="8" t="n"/>
      <c r="E4" s="8" t="n"/>
      <c r="F4" s="9" t="n">
        <v>3</v>
      </c>
      <c r="G4" s="10" t="inlineStr">
        <is>
          <t>A</t>
        </is>
      </c>
    </row>
    <row r="5">
      <c r="A5" s="5" t="inlineStr">
        <is>
          <t>Suryakumar Yadav</t>
        </is>
      </c>
      <c r="B5" s="7" t="inlineStr">
        <is>
          <t>Batsman</t>
        </is>
      </c>
      <c r="C5" s="7" t="inlineStr">
        <is>
          <t>Right</t>
        </is>
      </c>
      <c r="D5" s="5" t="n"/>
      <c r="E5" s="5" t="n"/>
      <c r="F5" s="6" t="n">
        <v>3</v>
      </c>
      <c r="G5" s="7" t="inlineStr">
        <is>
          <t>A</t>
        </is>
      </c>
    </row>
    <row r="6">
      <c r="A6" s="8" t="inlineStr">
        <is>
          <t>Shubman Gill</t>
        </is>
      </c>
      <c r="B6" s="10" t="inlineStr">
        <is>
          <t>Batsman</t>
        </is>
      </c>
      <c r="C6" s="10" t="inlineStr">
        <is>
          <t>Right</t>
        </is>
      </c>
      <c r="D6" s="8" t="n"/>
      <c r="E6" s="8" t="n"/>
      <c r="F6" s="9" t="n">
        <v>3</v>
      </c>
      <c r="G6" s="10" t="inlineStr">
        <is>
          <t>A</t>
        </is>
      </c>
    </row>
    <row r="7">
      <c r="A7" s="5" t="inlineStr">
        <is>
          <t>Nicholas Pooran</t>
        </is>
      </c>
      <c r="B7" s="7" t="inlineStr">
        <is>
          <t>Batsman</t>
        </is>
      </c>
      <c r="C7" s="7" t="inlineStr">
        <is>
          <t>Left</t>
        </is>
      </c>
      <c r="D7" s="5" t="n"/>
      <c r="E7" s="5" t="n"/>
      <c r="F7" s="6" t="n">
        <v>3</v>
      </c>
      <c r="G7" s="7" t="inlineStr">
        <is>
          <t>A</t>
        </is>
      </c>
    </row>
    <row r="8">
      <c r="A8" s="8" t="inlineStr">
        <is>
          <t>Travis Head</t>
        </is>
      </c>
      <c r="B8" s="10" t="inlineStr">
        <is>
          <t>Batsman</t>
        </is>
      </c>
      <c r="C8" s="10" t="inlineStr">
        <is>
          <t>Left</t>
        </is>
      </c>
      <c r="D8" s="8" t="n"/>
      <c r="E8" s="8" t="n"/>
      <c r="F8" s="9" t="n">
        <v>3</v>
      </c>
      <c r="G8" s="10" t="inlineStr">
        <is>
          <t>A</t>
        </is>
      </c>
    </row>
    <row r="9">
      <c r="A9" s="5" t="inlineStr">
        <is>
          <t>Abhishek Sharma</t>
        </is>
      </c>
      <c r="B9" s="7" t="inlineStr">
        <is>
          <t>Batsman</t>
        </is>
      </c>
      <c r="C9" s="7" t="inlineStr">
        <is>
          <t>Left</t>
        </is>
      </c>
      <c r="D9" s="5" t="n"/>
      <c r="E9" s="5" t="n"/>
      <c r="F9" s="6" t="n">
        <v>3</v>
      </c>
      <c r="G9" s="7" t="inlineStr">
        <is>
          <t>A</t>
        </is>
      </c>
    </row>
    <row r="10">
      <c r="A10" s="8" t="inlineStr">
        <is>
          <t>Yashasvi Jaiswal</t>
        </is>
      </c>
      <c r="B10" s="10" t="inlineStr">
        <is>
          <t>Batsman</t>
        </is>
      </c>
      <c r="C10" s="10" t="inlineStr">
        <is>
          <t>Left</t>
        </is>
      </c>
      <c r="D10" s="8" t="n"/>
      <c r="E10" s="8" t="n"/>
      <c r="F10" s="9" t="n">
        <v>3</v>
      </c>
      <c r="G10" s="10" t="inlineStr">
        <is>
          <t>A</t>
        </is>
      </c>
    </row>
    <row r="11">
      <c r="A11" s="5" t="inlineStr">
        <is>
          <t>Phil Salt</t>
        </is>
      </c>
      <c r="B11" s="7" t="inlineStr">
        <is>
          <t>Batsman</t>
        </is>
      </c>
      <c r="C11" s="7" t="inlineStr">
        <is>
          <t>Right</t>
        </is>
      </c>
      <c r="D11" s="5" t="n"/>
      <c r="E11" s="5" t="n"/>
      <c r="F11" s="6" t="n">
        <v>3</v>
      </c>
      <c r="G11" s="7" t="inlineStr">
        <is>
          <t>A</t>
        </is>
      </c>
    </row>
    <row r="12">
      <c r="A12" s="8" t="inlineStr">
        <is>
          <t>Vaibhav Suryavanshi</t>
        </is>
      </c>
      <c r="B12" s="10" t="inlineStr">
        <is>
          <t>Batsman</t>
        </is>
      </c>
      <c r="C12" s="10" t="inlineStr">
        <is>
          <t>Left</t>
        </is>
      </c>
      <c r="D12" s="8" t="n"/>
      <c r="E12" s="8" t="n"/>
      <c r="F12" s="9" t="n">
        <v>3</v>
      </c>
      <c r="G12" s="10" t="inlineStr">
        <is>
          <t>A</t>
        </is>
      </c>
    </row>
    <row r="13">
      <c r="A13" s="5" t="inlineStr">
        <is>
          <t>Jasprit Bumrah</t>
        </is>
      </c>
      <c r="B13" s="7" t="inlineStr">
        <is>
          <t>Bowler</t>
        </is>
      </c>
      <c r="C13" s="7" t="inlineStr">
        <is>
          <t>Right</t>
        </is>
      </c>
      <c r="D13" s="5" t="n"/>
      <c r="E13" s="5" t="n"/>
      <c r="F13" s="6" t="n">
        <v>3</v>
      </c>
      <c r="G13" s="7" t="inlineStr">
        <is>
          <t>A</t>
        </is>
      </c>
    </row>
    <row r="14">
      <c r="A14" s="8" t="inlineStr">
        <is>
          <t>Arshdeep Singh</t>
        </is>
      </c>
      <c r="B14" s="10" t="inlineStr">
        <is>
          <t>Bowler</t>
        </is>
      </c>
      <c r="C14" s="10" t="inlineStr">
        <is>
          <t>Left</t>
        </is>
      </c>
      <c r="D14" s="8" t="n"/>
      <c r="E14" s="8" t="n"/>
      <c r="F14" s="9" t="n">
        <v>3</v>
      </c>
      <c r="G14" s="10" t="inlineStr">
        <is>
          <t>A</t>
        </is>
      </c>
    </row>
    <row r="15">
      <c r="A15" s="5" t="inlineStr">
        <is>
          <t>Mohammed Siraj</t>
        </is>
      </c>
      <c r="B15" s="7" t="inlineStr">
        <is>
          <t>Bowler</t>
        </is>
      </c>
      <c r="C15" s="7" t="inlineStr">
        <is>
          <t>Right</t>
        </is>
      </c>
      <c r="D15" s="5" t="n"/>
      <c r="E15" s="5" t="n"/>
      <c r="F15" s="6" t="n">
        <v>3</v>
      </c>
      <c r="G15" s="7" t="inlineStr">
        <is>
          <t>A</t>
        </is>
      </c>
    </row>
    <row r="16">
      <c r="A16" s="8" t="inlineStr">
        <is>
          <t>Varun Chakaravarthy</t>
        </is>
      </c>
      <c r="B16" s="10" t="inlineStr">
        <is>
          <t>Bowler</t>
        </is>
      </c>
      <c r="C16" s="10" t="inlineStr">
        <is>
          <t>Right</t>
        </is>
      </c>
      <c r="D16" s="8" t="n"/>
      <c r="E16" s="8" t="n"/>
      <c r="F16" s="9" t="n">
        <v>3</v>
      </c>
      <c r="G16" s="10" t="inlineStr">
        <is>
          <t>A</t>
        </is>
      </c>
    </row>
    <row r="17">
      <c r="A17" s="5" t="inlineStr">
        <is>
          <t>Harshal Patel</t>
        </is>
      </c>
      <c r="B17" s="7" t="inlineStr">
        <is>
          <t>Bowler</t>
        </is>
      </c>
      <c r="C17" s="7" t="inlineStr">
        <is>
          <t>Right</t>
        </is>
      </c>
      <c r="D17" s="5" t="n"/>
      <c r="E17" s="5" t="n"/>
      <c r="F17" s="6" t="n">
        <v>3</v>
      </c>
      <c r="G17" s="7" t="inlineStr">
        <is>
          <t>A</t>
        </is>
      </c>
    </row>
    <row r="18">
      <c r="A18" s="8" t="inlineStr">
        <is>
          <t>Noor Ahmad</t>
        </is>
      </c>
      <c r="B18" s="10" t="inlineStr">
        <is>
          <t>Bowler</t>
        </is>
      </c>
      <c r="C18" s="10" t="inlineStr">
        <is>
          <t>Left</t>
        </is>
      </c>
      <c r="D18" s="8" t="n"/>
      <c r="E18" s="8" t="n"/>
      <c r="F18" s="9" t="n">
        <v>3</v>
      </c>
      <c r="G18" s="10" t="inlineStr">
        <is>
          <t>A</t>
        </is>
      </c>
    </row>
    <row r="19">
      <c r="A19" s="5" t="inlineStr">
        <is>
          <t>Mitchell Starc</t>
        </is>
      </c>
      <c r="B19" s="7" t="inlineStr">
        <is>
          <t>Bowler</t>
        </is>
      </c>
      <c r="C19" s="7" t="inlineStr">
        <is>
          <t>Left</t>
        </is>
      </c>
      <c r="D19" s="5" t="n"/>
      <c r="E19" s="5" t="n"/>
      <c r="F19" s="6" t="n">
        <v>3</v>
      </c>
      <c r="G19" s="7" t="inlineStr">
        <is>
          <t>A</t>
        </is>
      </c>
    </row>
    <row r="20">
      <c r="A20" s="8" t="inlineStr">
        <is>
          <t>Trent Boult</t>
        </is>
      </c>
      <c r="B20" s="10" t="inlineStr">
        <is>
          <t>Bowler</t>
        </is>
      </c>
      <c r="C20" s="10" t="inlineStr">
        <is>
          <t>Left</t>
        </is>
      </c>
      <c r="D20" s="8" t="n"/>
      <c r="E20" s="8" t="n"/>
      <c r="F20" s="9" t="n">
        <v>3</v>
      </c>
      <c r="G20" s="10" t="inlineStr">
        <is>
          <t>A</t>
        </is>
      </c>
    </row>
    <row r="21">
      <c r="A21" s="5" t="inlineStr">
        <is>
          <t>Josh Hazlewood</t>
        </is>
      </c>
      <c r="B21" s="7" t="inlineStr">
        <is>
          <t>Bowler</t>
        </is>
      </c>
      <c r="C21" s="7" t="inlineStr">
        <is>
          <t>Right</t>
        </is>
      </c>
      <c r="D21" s="5" t="n"/>
      <c r="E21" s="5" t="n"/>
      <c r="F21" s="6" t="n">
        <v>3</v>
      </c>
      <c r="G21" s="7" t="inlineStr">
        <is>
          <t>A</t>
        </is>
      </c>
    </row>
    <row r="22">
      <c r="A22" s="8" t="inlineStr">
        <is>
          <t>Kagiso Rabada</t>
        </is>
      </c>
      <c r="B22" s="10" t="inlineStr">
        <is>
          <t>Bowler</t>
        </is>
      </c>
      <c r="C22" s="10" t="inlineStr">
        <is>
          <t>Right</t>
        </is>
      </c>
      <c r="D22" s="8" t="n"/>
      <c r="E22" s="8" t="n"/>
      <c r="F22" s="9" t="n">
        <v>3</v>
      </c>
      <c r="G22" s="10" t="inlineStr">
        <is>
          <t>A</t>
        </is>
      </c>
    </row>
    <row r="23">
      <c r="A23" s="5" t="inlineStr">
        <is>
          <t>Hardik Pandya</t>
        </is>
      </c>
      <c r="B23" s="7" t="inlineStr">
        <is>
          <t>All Rounder</t>
        </is>
      </c>
      <c r="C23" s="7" t="inlineStr">
        <is>
          <t>Right</t>
        </is>
      </c>
      <c r="D23" s="5" t="n"/>
      <c r="E23" s="5" t="n"/>
      <c r="F23" s="6" t="n">
        <v>3</v>
      </c>
      <c r="G23" s="7" t="inlineStr">
        <is>
          <t>A</t>
        </is>
      </c>
    </row>
    <row r="24">
      <c r="A24" s="8" t="inlineStr">
        <is>
          <t>Sunil Narine</t>
        </is>
      </c>
      <c r="B24" s="10" t="inlineStr">
        <is>
          <t>All Rounder</t>
        </is>
      </c>
      <c r="C24" s="10" t="inlineStr">
        <is>
          <t>Left</t>
        </is>
      </c>
      <c r="D24" s="8" t="n"/>
      <c r="E24" s="8" t="n"/>
      <c r="F24" s="9" t="n">
        <v>3</v>
      </c>
      <c r="G24" s="10" t="inlineStr">
        <is>
          <t>A</t>
        </is>
      </c>
    </row>
    <row r="25">
      <c r="A25" s="5" t="inlineStr">
        <is>
          <t>Andre Russell</t>
        </is>
      </c>
      <c r="B25" s="7" t="inlineStr">
        <is>
          <t>All Rounder</t>
        </is>
      </c>
      <c r="C25" s="7" t="inlineStr">
        <is>
          <t>Right</t>
        </is>
      </c>
      <c r="D25" s="5" t="n"/>
      <c r="E25" s="5" t="n"/>
      <c r="F25" s="6" t="n">
        <v>3</v>
      </c>
      <c r="G25" s="7" t="inlineStr">
        <is>
          <t>A</t>
        </is>
      </c>
    </row>
    <row r="26">
      <c r="A26" s="8" t="inlineStr">
        <is>
          <t>Ravindra Jadeja</t>
        </is>
      </c>
      <c r="B26" s="10" t="inlineStr">
        <is>
          <t>All Rounder</t>
        </is>
      </c>
      <c r="C26" s="10" t="inlineStr">
        <is>
          <t>Left</t>
        </is>
      </c>
      <c r="D26" s="8" t="n"/>
      <c r="E26" s="8" t="n"/>
      <c r="F26" s="9" t="n">
        <v>3</v>
      </c>
      <c r="G26" s="10" t="inlineStr">
        <is>
          <t>A</t>
        </is>
      </c>
    </row>
    <row r="27">
      <c r="A27" s="5" t="inlineStr">
        <is>
          <t>Axar Patel</t>
        </is>
      </c>
      <c r="B27" s="7" t="inlineStr">
        <is>
          <t>All Rounder</t>
        </is>
      </c>
      <c r="C27" s="7" t="inlineStr">
        <is>
          <t>Left</t>
        </is>
      </c>
      <c r="D27" s="5" t="n"/>
      <c r="E27" s="5" t="n"/>
      <c r="F27" s="6" t="n">
        <v>3</v>
      </c>
      <c r="G27" s="7" t="inlineStr">
        <is>
          <t>A</t>
        </is>
      </c>
    </row>
    <row r="28">
      <c r="A28" s="8" t="inlineStr">
        <is>
          <t>Krunal Pandya</t>
        </is>
      </c>
      <c r="B28" s="10" t="inlineStr">
        <is>
          <t>All Rounder</t>
        </is>
      </c>
      <c r="C28" s="10" t="inlineStr">
        <is>
          <t>Left</t>
        </is>
      </c>
      <c r="D28" s="8" t="n"/>
      <c r="E28" s="8" t="n"/>
      <c r="F28" s="9" t="n">
        <v>3</v>
      </c>
      <c r="G28" s="10" t="inlineStr">
        <is>
          <t>A</t>
        </is>
      </c>
    </row>
    <row r="29">
      <c r="A29" s="5" t="inlineStr">
        <is>
          <t>Nitish Kumar Reddy</t>
        </is>
      </c>
      <c r="B29" s="7" t="inlineStr">
        <is>
          <t>All Rounder</t>
        </is>
      </c>
      <c r="C29" s="7" t="inlineStr">
        <is>
          <t>Right</t>
        </is>
      </c>
      <c r="D29" s="5" t="n"/>
      <c r="E29" s="5" t="n"/>
      <c r="F29" s="6" t="n">
        <v>3</v>
      </c>
      <c r="G29" s="7" t="inlineStr">
        <is>
          <t>A</t>
        </is>
      </c>
    </row>
    <row r="30">
      <c r="A30" s="8" t="inlineStr">
        <is>
          <t>Marcus Stoinis</t>
        </is>
      </c>
      <c r="B30" s="10" t="inlineStr">
        <is>
          <t>All Rounder</t>
        </is>
      </c>
      <c r="C30" s="10" t="inlineStr">
        <is>
          <t>Right</t>
        </is>
      </c>
      <c r="D30" s="8" t="n"/>
      <c r="E30" s="8" t="n"/>
      <c r="F30" s="9" t="n">
        <v>3</v>
      </c>
      <c r="G30" s="10" t="inlineStr">
        <is>
          <t>A</t>
        </is>
      </c>
    </row>
    <row r="31">
      <c r="A31" s="5" t="inlineStr">
        <is>
          <t>Washington Sundar</t>
        </is>
      </c>
      <c r="B31" s="7" t="inlineStr">
        <is>
          <t>All Rounder</t>
        </is>
      </c>
      <c r="C31" s="7" t="inlineStr">
        <is>
          <t>Left</t>
        </is>
      </c>
      <c r="D31" s="5" t="n"/>
      <c r="E31" s="5" t="n"/>
      <c r="F31" s="6" t="n">
        <v>3</v>
      </c>
      <c r="G31" s="7" t="inlineStr">
        <is>
          <t>A</t>
        </is>
      </c>
    </row>
    <row r="32">
      <c r="A32" s="8" t="inlineStr">
        <is>
          <t>Cameron Green</t>
        </is>
      </c>
      <c r="B32" s="10" t="inlineStr">
        <is>
          <t>All Rounder</t>
        </is>
      </c>
      <c r="C32" s="10" t="inlineStr">
        <is>
          <t>Right</t>
        </is>
      </c>
      <c r="D32" s="8" t="n"/>
      <c r="E32" s="8" t="n"/>
      <c r="F32" s="9" t="n">
        <v>3</v>
      </c>
      <c r="G32" s="10" t="inlineStr">
        <is>
          <t>A</t>
        </is>
      </c>
    </row>
    <row r="33">
      <c r="A33" s="5" t="inlineStr">
        <is>
          <t>Sanju Samson</t>
        </is>
      </c>
      <c r="B33" s="7" t="inlineStr">
        <is>
          <t>Wicketkeeper</t>
        </is>
      </c>
      <c r="C33" s="7" t="inlineStr">
        <is>
          <t>Right</t>
        </is>
      </c>
      <c r="D33" s="5" t="n"/>
      <c r="E33" s="5" t="n"/>
      <c r="F33" s="6" t="n">
        <v>3</v>
      </c>
      <c r="G33" s="7" t="inlineStr">
        <is>
          <t>A</t>
        </is>
      </c>
    </row>
    <row r="34">
      <c r="A34" s="8" t="inlineStr">
        <is>
          <t>Rishabh Pant</t>
        </is>
      </c>
      <c r="B34" s="10" t="inlineStr">
        <is>
          <t>Wicketkeeper</t>
        </is>
      </c>
      <c r="C34" s="10" t="inlineStr">
        <is>
          <t>Left</t>
        </is>
      </c>
      <c r="D34" s="8" t="n"/>
      <c r="E34" s="8" t="n"/>
      <c r="F34" s="9" t="n">
        <v>3</v>
      </c>
      <c r="G34" s="10" t="inlineStr">
        <is>
          <t>A</t>
        </is>
      </c>
    </row>
    <row r="35">
      <c r="A35" s="5" t="inlineStr">
        <is>
          <t>KL Rahul</t>
        </is>
      </c>
      <c r="B35" s="7" t="inlineStr">
        <is>
          <t>Wicketkeeper</t>
        </is>
      </c>
      <c r="C35" s="7" t="inlineStr">
        <is>
          <t>Right</t>
        </is>
      </c>
      <c r="D35" s="5" t="n"/>
      <c r="E35" s="5" t="n"/>
      <c r="F35" s="6" t="n">
        <v>3</v>
      </c>
      <c r="G35" s="7" t="inlineStr">
        <is>
          <t>A</t>
        </is>
      </c>
    </row>
    <row r="36">
      <c r="A36" s="8" t="inlineStr">
        <is>
          <t>Ishan Kishan</t>
        </is>
      </c>
      <c r="B36" s="10" t="inlineStr">
        <is>
          <t>Wicketkeeper</t>
        </is>
      </c>
      <c r="C36" s="10" t="inlineStr">
        <is>
          <t>Left</t>
        </is>
      </c>
      <c r="D36" s="8" t="n"/>
      <c r="E36" s="8" t="n"/>
      <c r="F36" s="9" t="n">
        <v>3</v>
      </c>
      <c r="G36" s="10" t="inlineStr">
        <is>
          <t>A</t>
        </is>
      </c>
    </row>
    <row r="37">
      <c r="A37" s="5" t="inlineStr">
        <is>
          <t>Jitesh Sharma</t>
        </is>
      </c>
      <c r="B37" s="7" t="inlineStr">
        <is>
          <t>Wicketkeeper</t>
        </is>
      </c>
      <c r="C37" s="7" t="inlineStr">
        <is>
          <t>Right</t>
        </is>
      </c>
      <c r="D37" s="5" t="n"/>
      <c r="E37" s="5" t="n"/>
      <c r="F37" s="6" t="n">
        <v>3</v>
      </c>
      <c r="G37" s="7" t="inlineStr">
        <is>
          <t>A</t>
        </is>
      </c>
    </row>
    <row r="38">
      <c r="A38" s="8" t="inlineStr">
        <is>
          <t>Heinrich Klaasen</t>
        </is>
      </c>
      <c r="B38" s="10" t="inlineStr">
        <is>
          <t>Wicketkeeper</t>
        </is>
      </c>
      <c r="C38" s="10" t="inlineStr">
        <is>
          <t>Right</t>
        </is>
      </c>
      <c r="D38" s="8" t="n"/>
      <c r="E38" s="8" t="n"/>
      <c r="F38" s="9" t="n">
        <v>3</v>
      </c>
      <c r="G38" s="10" t="inlineStr">
        <is>
          <t>A</t>
        </is>
      </c>
    </row>
    <row r="39">
      <c r="A39" s="5" t="inlineStr">
        <is>
          <t>Ruturaj Gaikwad</t>
        </is>
      </c>
      <c r="B39" s="7" t="inlineStr">
        <is>
          <t>Batsman</t>
        </is>
      </c>
      <c r="C39" s="7" t="inlineStr">
        <is>
          <t>Right</t>
        </is>
      </c>
      <c r="D39" s="5" t="n"/>
      <c r="E39" s="5" t="n"/>
      <c r="F39" s="6" t="n">
        <v>2</v>
      </c>
      <c r="G39" s="7" t="inlineStr">
        <is>
          <t>B</t>
        </is>
      </c>
    </row>
    <row r="40">
      <c r="A40" s="8" t="inlineStr">
        <is>
          <t>Devdutt Padikkal</t>
        </is>
      </c>
      <c r="B40" s="10" t="inlineStr">
        <is>
          <t>Batsman</t>
        </is>
      </c>
      <c r="C40" s="10" t="inlineStr">
        <is>
          <t>Left</t>
        </is>
      </c>
      <c r="D40" s="8" t="n"/>
      <c r="E40" s="8" t="n"/>
      <c r="F40" s="9" t="n">
        <v>2</v>
      </c>
      <c r="G40" s="10" t="inlineStr">
        <is>
          <t>B</t>
        </is>
      </c>
    </row>
    <row r="41">
      <c r="A41" s="5" t="inlineStr">
        <is>
          <t>Tilak Varma</t>
        </is>
      </c>
      <c r="B41" s="7" t="inlineStr">
        <is>
          <t>Batsman</t>
        </is>
      </c>
      <c r="C41" s="7" t="inlineStr">
        <is>
          <t>Left</t>
        </is>
      </c>
      <c r="D41" s="5" t="n"/>
      <c r="E41" s="5" t="n"/>
      <c r="F41" s="6" t="n">
        <v>2</v>
      </c>
      <c r="G41" s="7" t="inlineStr">
        <is>
          <t>B</t>
        </is>
      </c>
    </row>
    <row r="42">
      <c r="A42" s="8" t="inlineStr">
        <is>
          <t>Nehal Wadhera</t>
        </is>
      </c>
      <c r="B42" s="10" t="inlineStr">
        <is>
          <t>Batsman</t>
        </is>
      </c>
      <c r="C42" s="10" t="inlineStr">
        <is>
          <t>Left</t>
        </is>
      </c>
      <c r="D42" s="8" t="n"/>
      <c r="E42" s="8" t="n"/>
      <c r="F42" s="9" t="n">
        <v>2</v>
      </c>
      <c r="G42" s="10" t="inlineStr">
        <is>
          <t>B</t>
        </is>
      </c>
    </row>
    <row r="43">
      <c r="A43" s="5" t="inlineStr">
        <is>
          <t>Rinku Singh</t>
        </is>
      </c>
      <c r="B43" s="7" t="inlineStr">
        <is>
          <t>Batsman</t>
        </is>
      </c>
      <c r="C43" s="7" t="inlineStr">
        <is>
          <t>Left</t>
        </is>
      </c>
      <c r="D43" s="5" t="n"/>
      <c r="E43" s="5" t="n"/>
      <c r="F43" s="6" t="n">
        <v>2</v>
      </c>
      <c r="G43" s="7" t="inlineStr">
        <is>
          <t>B</t>
        </is>
      </c>
    </row>
    <row r="44">
      <c r="A44" s="8" t="inlineStr">
        <is>
          <t>Ajinkya Rahane</t>
        </is>
      </c>
      <c r="B44" s="10" t="inlineStr">
        <is>
          <t>Batsman</t>
        </is>
      </c>
      <c r="C44" s="10" t="inlineStr">
        <is>
          <t>Right</t>
        </is>
      </c>
      <c r="D44" s="8" t="n"/>
      <c r="E44" s="8" t="n"/>
      <c r="F44" s="9" t="n">
        <v>2</v>
      </c>
      <c r="G44" s="10" t="inlineStr">
        <is>
          <t>B</t>
        </is>
      </c>
    </row>
    <row r="45">
      <c r="A45" s="5" t="inlineStr">
        <is>
          <t>Rahul Tripathi</t>
        </is>
      </c>
      <c r="B45" s="7" t="inlineStr">
        <is>
          <t>Batsman</t>
        </is>
      </c>
      <c r="C45" s="7" t="inlineStr">
        <is>
          <t>Right</t>
        </is>
      </c>
      <c r="D45" s="5" t="n"/>
      <c r="E45" s="5" t="n"/>
      <c r="F45" s="6" t="n">
        <v>2</v>
      </c>
      <c r="G45" s="7" t="inlineStr">
        <is>
          <t>B</t>
        </is>
      </c>
    </row>
    <row r="46">
      <c r="A46" s="8" t="inlineStr">
        <is>
          <t>Angkrish Raghuvanshi</t>
        </is>
      </c>
      <c r="B46" s="10" t="inlineStr">
        <is>
          <t>Batsman</t>
        </is>
      </c>
      <c r="C46" s="10" t="inlineStr">
        <is>
          <t>Right</t>
        </is>
      </c>
      <c r="D46" s="8" t="n"/>
      <c r="E46" s="8" t="n"/>
      <c r="F46" s="9" t="n">
        <v>2</v>
      </c>
      <c r="G46" s="10" t="inlineStr">
        <is>
          <t>B</t>
        </is>
      </c>
    </row>
    <row r="47">
      <c r="A47" s="5" t="inlineStr">
        <is>
          <t>Ashutosh Sharma</t>
        </is>
      </c>
      <c r="B47" s="7" t="inlineStr">
        <is>
          <t>Batsman</t>
        </is>
      </c>
      <c r="C47" s="7" t="inlineStr">
        <is>
          <t>Right</t>
        </is>
      </c>
      <c r="D47" s="5" t="n"/>
      <c r="E47" s="5" t="n"/>
      <c r="F47" s="6" t="n">
        <v>2</v>
      </c>
      <c r="G47" s="7" t="inlineStr">
        <is>
          <t>B</t>
        </is>
      </c>
    </row>
    <row r="48">
      <c r="A48" s="8" t="inlineStr">
        <is>
          <t>Priyansh Arya</t>
        </is>
      </c>
      <c r="B48" s="10" t="inlineStr">
        <is>
          <t>Batsman</t>
        </is>
      </c>
      <c r="C48" s="10" t="inlineStr">
        <is>
          <t>Left</t>
        </is>
      </c>
      <c r="D48" s="8" t="n"/>
      <c r="E48" s="8" t="n"/>
      <c r="F48" s="9" t="n">
        <v>2</v>
      </c>
      <c r="G48" s="10" t="inlineStr">
        <is>
          <t>B</t>
        </is>
      </c>
    </row>
    <row r="49">
      <c r="A49" s="5" t="inlineStr">
        <is>
          <t>Karun Nair</t>
        </is>
      </c>
      <c r="B49" s="7" t="inlineStr">
        <is>
          <t>Batsman</t>
        </is>
      </c>
      <c r="C49" s="7" t="inlineStr">
        <is>
          <t>Right</t>
        </is>
      </c>
      <c r="D49" s="5" t="n"/>
      <c r="E49" s="5" t="n"/>
      <c r="F49" s="6" t="n">
        <v>2</v>
      </c>
      <c r="G49" s="7" t="inlineStr">
        <is>
          <t>B</t>
        </is>
      </c>
    </row>
    <row r="50">
      <c r="A50" s="8" t="inlineStr">
        <is>
          <t>Sameer Rizvi</t>
        </is>
      </c>
      <c r="B50" s="10" t="inlineStr">
        <is>
          <t>Batsman</t>
        </is>
      </c>
      <c r="C50" s="10" t="inlineStr">
        <is>
          <t>Right</t>
        </is>
      </c>
      <c r="D50" s="8" t="n"/>
      <c r="E50" s="8" t="n"/>
      <c r="F50" s="9" t="n">
        <v>2</v>
      </c>
      <c r="G50" s="10" t="inlineStr">
        <is>
          <t>B</t>
        </is>
      </c>
    </row>
    <row r="51">
      <c r="A51" s="5" t="inlineStr">
        <is>
          <t>Sherfane Rutherford</t>
        </is>
      </c>
      <c r="B51" s="7" t="inlineStr">
        <is>
          <t>Batsman</t>
        </is>
      </c>
      <c r="C51" s="7" t="inlineStr">
        <is>
          <t>Left</t>
        </is>
      </c>
      <c r="D51" s="5" t="n"/>
      <c r="E51" s="5" t="n"/>
      <c r="F51" s="6" t="n">
        <v>2</v>
      </c>
      <c r="G51" s="7" t="inlineStr">
        <is>
          <t>B</t>
        </is>
      </c>
    </row>
    <row r="52">
      <c r="A52" s="8" t="inlineStr">
        <is>
          <t>Dewald Brevis</t>
        </is>
      </c>
      <c r="B52" s="10" t="inlineStr">
        <is>
          <t>Batsman</t>
        </is>
      </c>
      <c r="C52" s="10" t="inlineStr">
        <is>
          <t>Right</t>
        </is>
      </c>
      <c r="D52" s="8" t="n"/>
      <c r="E52" s="8" t="n"/>
      <c r="F52" s="9" t="n">
        <v>2</v>
      </c>
      <c r="G52" s="10" t="inlineStr">
        <is>
          <t>B</t>
        </is>
      </c>
    </row>
    <row r="53">
      <c r="A53" s="5" t="inlineStr">
        <is>
          <t>Tim David</t>
        </is>
      </c>
      <c r="B53" s="7" t="inlineStr">
        <is>
          <t>Batsman</t>
        </is>
      </c>
      <c r="C53" s="7" t="inlineStr">
        <is>
          <t>Right</t>
        </is>
      </c>
      <c r="D53" s="5" t="n"/>
      <c r="E53" s="5" t="n"/>
      <c r="F53" s="6" t="n">
        <v>2</v>
      </c>
      <c r="G53" s="7" t="inlineStr">
        <is>
          <t>B</t>
        </is>
      </c>
    </row>
    <row r="54">
      <c r="A54" s="8" t="inlineStr">
        <is>
          <t>Faf du Plessis</t>
        </is>
      </c>
      <c r="B54" s="10" t="inlineStr">
        <is>
          <t>Batsman</t>
        </is>
      </c>
      <c r="C54" s="10" t="inlineStr">
        <is>
          <t>Right</t>
        </is>
      </c>
      <c r="D54" s="8" t="n"/>
      <c r="E54" s="8" t="n"/>
      <c r="F54" s="9" t="n">
        <v>2</v>
      </c>
      <c r="G54" s="10" t="inlineStr">
        <is>
          <t>B</t>
        </is>
      </c>
    </row>
    <row r="55">
      <c r="A55" s="5" t="inlineStr">
        <is>
          <t>David Miller</t>
        </is>
      </c>
      <c r="B55" s="7" t="inlineStr">
        <is>
          <t>Batsman</t>
        </is>
      </c>
      <c r="C55" s="7" t="inlineStr">
        <is>
          <t>Left</t>
        </is>
      </c>
      <c r="D55" s="5" t="n"/>
      <c r="E55" s="5" t="n"/>
      <c r="F55" s="6" t="n">
        <v>2</v>
      </c>
      <c r="G55" s="7" t="inlineStr">
        <is>
          <t>B</t>
        </is>
      </c>
    </row>
    <row r="56">
      <c r="A56" s="8" t="inlineStr">
        <is>
          <t>Rovman Powell</t>
        </is>
      </c>
      <c r="B56" s="10" t="inlineStr">
        <is>
          <t>Batsman</t>
        </is>
      </c>
      <c r="C56" s="10" t="inlineStr">
        <is>
          <t>Right</t>
        </is>
      </c>
      <c r="D56" s="8" t="n"/>
      <c r="E56" s="8" t="n"/>
      <c r="F56" s="9" t="n">
        <v>2</v>
      </c>
      <c r="G56" s="10" t="inlineStr">
        <is>
          <t>B</t>
        </is>
      </c>
    </row>
    <row r="57">
      <c r="A57" s="5" t="inlineStr">
        <is>
          <t>Shimron Hetmyer</t>
        </is>
      </c>
      <c r="B57" s="7" t="inlineStr">
        <is>
          <t>Batsman</t>
        </is>
      </c>
      <c r="C57" s="7" t="inlineStr">
        <is>
          <t>Left</t>
        </is>
      </c>
      <c r="D57" s="5" t="n"/>
      <c r="E57" s="5" t="n"/>
      <c r="F57" s="6" t="n">
        <v>2</v>
      </c>
      <c r="G57" s="7" t="inlineStr">
        <is>
          <t>B</t>
        </is>
      </c>
    </row>
    <row r="58">
      <c r="A58" s="8" t="inlineStr">
        <is>
          <t>Harry Brook</t>
        </is>
      </c>
      <c r="B58" s="10" t="inlineStr">
        <is>
          <t>Batsman</t>
        </is>
      </c>
      <c r="C58" s="10" t="inlineStr">
        <is>
          <t>Right</t>
        </is>
      </c>
      <c r="D58" s="8" t="n"/>
      <c r="E58" s="8" t="n"/>
      <c r="F58" s="9" t="n">
        <v>2</v>
      </c>
      <c r="G58" s="10" t="inlineStr">
        <is>
          <t>B</t>
        </is>
      </c>
    </row>
    <row r="59">
      <c r="A59" s="5" t="inlineStr">
        <is>
          <t>Aiden Markram</t>
        </is>
      </c>
      <c r="B59" s="7" t="inlineStr">
        <is>
          <t>Batsman</t>
        </is>
      </c>
      <c r="C59" s="7" t="inlineStr">
        <is>
          <t>Right</t>
        </is>
      </c>
      <c r="D59" s="5" t="n"/>
      <c r="E59" s="5" t="n"/>
      <c r="F59" s="6" t="n">
        <v>2</v>
      </c>
      <c r="G59" s="7" t="inlineStr">
        <is>
          <t>B</t>
        </is>
      </c>
    </row>
    <row r="60">
      <c r="A60" s="8" t="inlineStr">
        <is>
          <t>Rahul Tewatia</t>
        </is>
      </c>
      <c r="B60" s="10" t="inlineStr">
        <is>
          <t>Batsman</t>
        </is>
      </c>
      <c r="C60" s="10" t="inlineStr">
        <is>
          <t>Left</t>
        </is>
      </c>
      <c r="D60" s="8" t="n"/>
      <c r="E60" s="8" t="n"/>
      <c r="F60" s="9" t="n">
        <v>2</v>
      </c>
      <c r="G60" s="10" t="inlineStr">
        <is>
          <t>B</t>
        </is>
      </c>
    </row>
    <row r="61">
      <c r="A61" s="5" t="inlineStr">
        <is>
          <t>Ramandeep Singh</t>
        </is>
      </c>
      <c r="B61" s="7" t="inlineStr">
        <is>
          <t>Batsman</t>
        </is>
      </c>
      <c r="C61" s="7" t="inlineStr">
        <is>
          <t>Right</t>
        </is>
      </c>
      <c r="D61" s="5" t="n"/>
      <c r="E61" s="5" t="n"/>
      <c r="F61" s="6" t="n">
        <v>2</v>
      </c>
      <c r="G61" s="7" t="inlineStr">
        <is>
          <t>B</t>
        </is>
      </c>
    </row>
    <row r="62">
      <c r="A62" s="8" t="inlineStr">
        <is>
          <t>Ayush Badoni</t>
        </is>
      </c>
      <c r="B62" s="10" t="inlineStr">
        <is>
          <t>Batsman</t>
        </is>
      </c>
      <c r="C62" s="10" t="inlineStr">
        <is>
          <t>Right</t>
        </is>
      </c>
      <c r="D62" s="8" t="n"/>
      <c r="E62" s="8" t="n"/>
      <c r="F62" s="9" t="n">
        <v>2</v>
      </c>
      <c r="G62" s="10" t="inlineStr">
        <is>
          <t>B</t>
        </is>
      </c>
    </row>
    <row r="63">
      <c r="A63" s="5" t="inlineStr">
        <is>
          <t>Rohit Sharma</t>
        </is>
      </c>
      <c r="B63" s="7" t="inlineStr">
        <is>
          <t>Batsman</t>
        </is>
      </c>
      <c r="C63" s="7" t="inlineStr">
        <is>
          <t>Right</t>
        </is>
      </c>
      <c r="D63" s="5" t="n"/>
      <c r="E63" s="5" t="n"/>
      <c r="F63" s="6" t="n">
        <v>2</v>
      </c>
      <c r="G63" s="7" t="inlineStr">
        <is>
          <t>B</t>
        </is>
      </c>
    </row>
    <row r="64">
      <c r="A64" s="8" t="inlineStr">
        <is>
          <t>Abdul Samad</t>
        </is>
      </c>
      <c r="B64" s="10" t="inlineStr">
        <is>
          <t>Batsman</t>
        </is>
      </c>
      <c r="C64" s="10" t="inlineStr">
        <is>
          <t>Right</t>
        </is>
      </c>
      <c r="D64" s="8" t="n"/>
      <c r="E64" s="8" t="n"/>
      <c r="F64" s="9" t="n">
        <v>2</v>
      </c>
      <c r="G64" s="10" t="inlineStr">
        <is>
          <t>B</t>
        </is>
      </c>
    </row>
    <row r="65">
      <c r="A65" s="5" t="inlineStr">
        <is>
          <t>Shahrukh Khan</t>
        </is>
      </c>
      <c r="B65" s="7" t="inlineStr">
        <is>
          <t>Batsman</t>
        </is>
      </c>
      <c r="C65" s="7" t="inlineStr">
        <is>
          <t>Right</t>
        </is>
      </c>
      <c r="D65" s="5" t="n"/>
      <c r="E65" s="5" t="n"/>
      <c r="F65" s="6" t="n">
        <v>2</v>
      </c>
      <c r="G65" s="7" t="inlineStr">
        <is>
          <t>B</t>
        </is>
      </c>
    </row>
    <row r="66">
      <c r="A66" s="8" t="inlineStr">
        <is>
          <t>Manish Pandey</t>
        </is>
      </c>
      <c r="B66" s="10" t="inlineStr">
        <is>
          <t>Batsman</t>
        </is>
      </c>
      <c r="C66" s="10" t="inlineStr">
        <is>
          <t>Right</t>
        </is>
      </c>
      <c r="D66" s="8" t="n"/>
      <c r="E66" s="8" t="n"/>
      <c r="F66" s="9" t="n">
        <v>2</v>
      </c>
      <c r="G66" s="10" t="inlineStr">
        <is>
          <t>B</t>
        </is>
      </c>
    </row>
    <row r="67">
      <c r="A67" s="5" t="inlineStr">
        <is>
          <t>Sai Kishore</t>
        </is>
      </c>
      <c r="B67" s="7" t="inlineStr">
        <is>
          <t>Batsman</t>
        </is>
      </c>
      <c r="C67" s="7" t="inlineStr">
        <is>
          <t>Left</t>
        </is>
      </c>
      <c r="D67" s="5" t="n"/>
      <c r="E67" s="5" t="n"/>
      <c r="F67" s="6" t="n">
        <v>2</v>
      </c>
      <c r="G67" s="7" t="inlineStr">
        <is>
          <t>B</t>
        </is>
      </c>
    </row>
    <row r="68">
      <c r="A68" s="8" t="inlineStr">
        <is>
          <t>Rajat Patidar</t>
        </is>
      </c>
      <c r="B68" s="10" t="inlineStr">
        <is>
          <t>Batsman</t>
        </is>
      </c>
      <c r="C68" s="10" t="inlineStr">
        <is>
          <t>Right</t>
        </is>
      </c>
      <c r="D68" s="8" t="n"/>
      <c r="E68" s="8" t="n"/>
      <c r="F68" s="9" t="n">
        <v>2</v>
      </c>
      <c r="G68" s="10" t="inlineStr">
        <is>
          <t>B</t>
        </is>
      </c>
    </row>
    <row r="69">
      <c r="A69" s="5" t="inlineStr">
        <is>
          <t>Bhuvneshwar Kumar</t>
        </is>
      </c>
      <c r="B69" s="7" t="inlineStr">
        <is>
          <t>Bowler</t>
        </is>
      </c>
      <c r="C69" s="7" t="inlineStr">
        <is>
          <t>Right</t>
        </is>
      </c>
      <c r="D69" s="5" t="n"/>
      <c r="E69" s="5" t="n"/>
      <c r="F69" s="6" t="n">
        <v>2</v>
      </c>
      <c r="G69" s="7" t="inlineStr">
        <is>
          <t>B</t>
        </is>
      </c>
    </row>
    <row r="70">
      <c r="A70" s="8" t="inlineStr">
        <is>
          <t>Avesh Khan</t>
        </is>
      </c>
      <c r="B70" s="10" t="inlineStr">
        <is>
          <t>Bowler</t>
        </is>
      </c>
      <c r="C70" s="10" t="inlineStr">
        <is>
          <t>Right</t>
        </is>
      </c>
      <c r="D70" s="8" t="n"/>
      <c r="E70" s="8" t="n"/>
      <c r="F70" s="9" t="n">
        <v>2</v>
      </c>
      <c r="G70" s="10" t="inlineStr">
        <is>
          <t>B</t>
        </is>
      </c>
    </row>
    <row r="71">
      <c r="A71" s="5" t="inlineStr">
        <is>
          <t>Mukesh Kumar</t>
        </is>
      </c>
      <c r="B71" s="7" t="inlineStr">
        <is>
          <t>Bowler</t>
        </is>
      </c>
      <c r="C71" s="7" t="inlineStr">
        <is>
          <t>Right</t>
        </is>
      </c>
      <c r="D71" s="5" t="n"/>
      <c r="E71" s="5" t="n"/>
      <c r="F71" s="6" t="n">
        <v>2</v>
      </c>
      <c r="G71" s="7" t="inlineStr">
        <is>
          <t>B</t>
        </is>
      </c>
    </row>
    <row r="72">
      <c r="A72" s="8" t="inlineStr">
        <is>
          <t>Khaleel Ahmed</t>
        </is>
      </c>
      <c r="B72" s="10" t="inlineStr">
        <is>
          <t>Bowler</t>
        </is>
      </c>
      <c r="C72" s="10" t="inlineStr">
        <is>
          <t>Left</t>
        </is>
      </c>
      <c r="D72" s="8" t="n"/>
      <c r="E72" s="8" t="n"/>
      <c r="F72" s="9" t="n">
        <v>2</v>
      </c>
      <c r="G72" s="10" t="inlineStr">
        <is>
          <t>B</t>
        </is>
      </c>
    </row>
    <row r="73">
      <c r="A73" s="5" t="inlineStr">
        <is>
          <t>Deepak Chahar</t>
        </is>
      </c>
      <c r="B73" s="7" t="inlineStr">
        <is>
          <t>Bowler</t>
        </is>
      </c>
      <c r="C73" s="7" t="inlineStr">
        <is>
          <t>Right</t>
        </is>
      </c>
      <c r="D73" s="5" t="n"/>
      <c r="E73" s="5" t="n"/>
      <c r="F73" s="6" t="n">
        <v>2</v>
      </c>
      <c r="G73" s="7" t="inlineStr">
        <is>
          <t>B</t>
        </is>
      </c>
    </row>
    <row r="74">
      <c r="A74" s="8" t="inlineStr">
        <is>
          <t>Yash Dayal</t>
        </is>
      </c>
      <c r="B74" s="10" t="inlineStr">
        <is>
          <t>Bowler</t>
        </is>
      </c>
      <c r="C74" s="10" t="inlineStr">
        <is>
          <t>Left</t>
        </is>
      </c>
      <c r="D74" s="8" t="n"/>
      <c r="E74" s="8" t="n"/>
      <c r="F74" s="9" t="n">
        <v>2</v>
      </c>
      <c r="G74" s="10" t="inlineStr">
        <is>
          <t>B</t>
        </is>
      </c>
    </row>
    <row r="75">
      <c r="A75" s="5" t="inlineStr">
        <is>
          <t>Akash Deep</t>
        </is>
      </c>
      <c r="B75" s="7" t="inlineStr">
        <is>
          <t>Bowler</t>
        </is>
      </c>
      <c r="C75" s="7" t="inlineStr">
        <is>
          <t>Right</t>
        </is>
      </c>
      <c r="D75" s="5" t="n"/>
      <c r="E75" s="5" t="n"/>
      <c r="F75" s="6" t="n">
        <v>2</v>
      </c>
      <c r="G75" s="7" t="inlineStr">
        <is>
          <t>B</t>
        </is>
      </c>
    </row>
    <row r="76">
      <c r="A76" s="8" t="inlineStr">
        <is>
          <t>Mohsin Khan</t>
        </is>
      </c>
      <c r="B76" s="10" t="inlineStr">
        <is>
          <t>Bowler</t>
        </is>
      </c>
      <c r="C76" s="10" t="inlineStr">
        <is>
          <t>Left</t>
        </is>
      </c>
      <c r="D76" s="8" t="n"/>
      <c r="E76" s="8" t="n"/>
      <c r="F76" s="9" t="n">
        <v>2</v>
      </c>
      <c r="G76" s="10" t="inlineStr">
        <is>
          <t>B</t>
        </is>
      </c>
    </row>
    <row r="77">
      <c r="A77" s="5" t="inlineStr">
        <is>
          <t>Simarjeet Singh</t>
        </is>
      </c>
      <c r="B77" s="7" t="inlineStr">
        <is>
          <t>Bowler</t>
        </is>
      </c>
      <c r="C77" s="7" t="inlineStr">
        <is>
          <t>Right</t>
        </is>
      </c>
      <c r="D77" s="5" t="n"/>
      <c r="E77" s="5" t="n"/>
      <c r="F77" s="6" t="n">
        <v>2</v>
      </c>
      <c r="G77" s="7" t="inlineStr">
        <is>
          <t>B</t>
        </is>
      </c>
    </row>
    <row r="78">
      <c r="A78" s="8" t="inlineStr">
        <is>
          <t>Yash Thakur</t>
        </is>
      </c>
      <c r="B78" s="10" t="inlineStr">
        <is>
          <t>Bowler</t>
        </is>
      </c>
      <c r="C78" s="10" t="inlineStr">
        <is>
          <t>Right</t>
        </is>
      </c>
      <c r="D78" s="8" t="n"/>
      <c r="E78" s="8" t="n"/>
      <c r="F78" s="9" t="n">
        <v>2</v>
      </c>
      <c r="G78" s="10" t="inlineStr">
        <is>
          <t>B</t>
        </is>
      </c>
    </row>
    <row r="79">
      <c r="A79" s="5" t="inlineStr">
        <is>
          <t>Mayank Yadav</t>
        </is>
      </c>
      <c r="B79" s="7" t="inlineStr">
        <is>
          <t>Bowler</t>
        </is>
      </c>
      <c r="C79" s="7" t="inlineStr">
        <is>
          <t>Right</t>
        </is>
      </c>
      <c r="D79" s="5" t="n"/>
      <c r="E79" s="5" t="n"/>
      <c r="F79" s="6" t="n">
        <v>2</v>
      </c>
      <c r="G79" s="7" t="inlineStr">
        <is>
          <t>B</t>
        </is>
      </c>
    </row>
    <row r="80">
      <c r="A80" s="8" t="inlineStr">
        <is>
          <t>Nandre Burger</t>
        </is>
      </c>
      <c r="B80" s="10" t="inlineStr">
        <is>
          <t>Bowler</t>
        </is>
      </c>
      <c r="C80" s="10" t="inlineStr">
        <is>
          <t>Left</t>
        </is>
      </c>
      <c r="D80" s="8" t="n"/>
      <c r="E80" s="8" t="n"/>
      <c r="F80" s="9" t="n">
        <v>2</v>
      </c>
      <c r="G80" s="10" t="inlineStr">
        <is>
          <t>B</t>
        </is>
      </c>
    </row>
    <row r="81">
      <c r="A81" s="5" t="inlineStr">
        <is>
          <t>Gerald Coetzee</t>
        </is>
      </c>
      <c r="B81" s="7" t="inlineStr">
        <is>
          <t>Bowler</t>
        </is>
      </c>
      <c r="C81" s="7" t="inlineStr">
        <is>
          <t>Right</t>
        </is>
      </c>
      <c r="D81" s="5" t="n"/>
      <c r="E81" s="5" t="n"/>
      <c r="F81" s="6" t="n">
        <v>2</v>
      </c>
      <c r="G81" s="7" t="inlineStr">
        <is>
          <t>B</t>
        </is>
      </c>
    </row>
    <row r="82">
      <c r="A82" s="8" t="inlineStr">
        <is>
          <t>Prasidh Krishna</t>
        </is>
      </c>
      <c r="B82" s="10" t="inlineStr">
        <is>
          <t>Bowler</t>
        </is>
      </c>
      <c r="C82" s="10" t="inlineStr">
        <is>
          <t>Right</t>
        </is>
      </c>
      <c r="D82" s="8" t="n"/>
      <c r="E82" s="8" t="n"/>
      <c r="F82" s="9" t="n">
        <v>2</v>
      </c>
      <c r="G82" s="10" t="inlineStr">
        <is>
          <t>B</t>
        </is>
      </c>
    </row>
    <row r="83">
      <c r="A83" s="5" t="inlineStr">
        <is>
          <t>T. Natarajan</t>
        </is>
      </c>
      <c r="B83" s="7" t="inlineStr">
        <is>
          <t>Bowler</t>
        </is>
      </c>
      <c r="C83" s="7" t="inlineStr">
        <is>
          <t>Left</t>
        </is>
      </c>
      <c r="D83" s="5" t="n"/>
      <c r="E83" s="5" t="n"/>
      <c r="F83" s="6" t="n">
        <v>2</v>
      </c>
      <c r="G83" s="7" t="inlineStr">
        <is>
          <t>B</t>
        </is>
      </c>
    </row>
    <row r="84">
      <c r="A84" s="8" t="inlineStr">
        <is>
          <t>Kuldeep Yadav</t>
        </is>
      </c>
      <c r="B84" s="10" t="inlineStr">
        <is>
          <t>Bowler</t>
        </is>
      </c>
      <c r="C84" s="10" t="inlineStr">
        <is>
          <t>Left</t>
        </is>
      </c>
      <c r="D84" s="8" t="n"/>
      <c r="E84" s="8" t="n"/>
      <c r="F84" s="9" t="n">
        <v>2</v>
      </c>
      <c r="G84" s="10" t="inlineStr">
        <is>
          <t>B</t>
        </is>
      </c>
    </row>
    <row r="85">
      <c r="A85" s="5" t="inlineStr">
        <is>
          <t>Lockie Ferguson</t>
        </is>
      </c>
      <c r="B85" s="7" t="inlineStr">
        <is>
          <t>Bowler</t>
        </is>
      </c>
      <c r="C85" s="7" t="inlineStr">
        <is>
          <t>Right</t>
        </is>
      </c>
      <c r="D85" s="5" t="n"/>
      <c r="E85" s="5" t="n"/>
      <c r="F85" s="6" t="n">
        <v>2</v>
      </c>
      <c r="G85" s="7" t="inlineStr">
        <is>
          <t>B</t>
        </is>
      </c>
    </row>
    <row r="86">
      <c r="A86" s="8" t="inlineStr">
        <is>
          <t>Matheesha Pathirana</t>
        </is>
      </c>
      <c r="B86" s="10" t="inlineStr">
        <is>
          <t>Bowler</t>
        </is>
      </c>
      <c r="C86" s="10" t="inlineStr">
        <is>
          <t>Right</t>
        </is>
      </c>
      <c r="D86" s="8" t="n"/>
      <c r="E86" s="8" t="n"/>
      <c r="F86" s="9" t="n">
        <v>2</v>
      </c>
      <c r="G86" s="10" t="inlineStr">
        <is>
          <t>B</t>
        </is>
      </c>
    </row>
    <row r="87">
      <c r="A87" s="5" t="inlineStr">
        <is>
          <t>Spencer Johnson</t>
        </is>
      </c>
      <c r="B87" s="7" t="inlineStr">
        <is>
          <t>Bowler</t>
        </is>
      </c>
      <c r="C87" s="7" t="inlineStr">
        <is>
          <t>Left</t>
        </is>
      </c>
      <c r="D87" s="5" t="n"/>
      <c r="E87" s="5" t="n"/>
      <c r="F87" s="6" t="n">
        <v>2</v>
      </c>
      <c r="G87" s="7" t="inlineStr">
        <is>
          <t>B</t>
        </is>
      </c>
    </row>
    <row r="88">
      <c r="A88" s="8" t="inlineStr">
        <is>
          <t>Richard Gleeson</t>
        </is>
      </c>
      <c r="B88" s="10" t="inlineStr">
        <is>
          <t>Bowler</t>
        </is>
      </c>
      <c r="C88" s="10" t="inlineStr">
        <is>
          <t>Right</t>
        </is>
      </c>
      <c r="D88" s="8" t="n"/>
      <c r="E88" s="8" t="n"/>
      <c r="F88" s="9" t="n">
        <v>2</v>
      </c>
      <c r="G88" s="10" t="inlineStr">
        <is>
          <t>B</t>
        </is>
      </c>
    </row>
    <row r="89">
      <c r="A89" s="5" t="inlineStr">
        <is>
          <t>Yuzvendra Chahal</t>
        </is>
      </c>
      <c r="B89" s="7" t="inlineStr">
        <is>
          <t>Bowler</t>
        </is>
      </c>
      <c r="C89" s="7" t="inlineStr">
        <is>
          <t>Right</t>
        </is>
      </c>
      <c r="D89" s="5" t="n"/>
      <c r="E89" s="5" t="n"/>
      <c r="F89" s="6" t="n">
        <v>2</v>
      </c>
      <c r="G89" s="7" t="inlineStr">
        <is>
          <t>B</t>
        </is>
      </c>
    </row>
    <row r="90">
      <c r="A90" s="8" t="inlineStr">
        <is>
          <t>Ravi Bishnoi</t>
        </is>
      </c>
      <c r="B90" s="10" t="inlineStr">
        <is>
          <t>Bowler</t>
        </is>
      </c>
      <c r="C90" s="10" t="inlineStr">
        <is>
          <t>Right</t>
        </is>
      </c>
      <c r="D90" s="8" t="n"/>
      <c r="E90" s="8" t="n"/>
      <c r="F90" s="9" t="n">
        <v>2</v>
      </c>
      <c r="G90" s="10" t="inlineStr">
        <is>
          <t>B</t>
        </is>
      </c>
    </row>
    <row r="91">
      <c r="A91" s="5" t="inlineStr">
        <is>
          <t>R. Sai Kishore</t>
        </is>
      </c>
      <c r="B91" s="7" t="inlineStr">
        <is>
          <t>Bowler</t>
        </is>
      </c>
      <c r="C91" s="7" t="inlineStr">
        <is>
          <t>Left</t>
        </is>
      </c>
      <c r="D91" s="5" t="n"/>
      <c r="E91" s="5" t="n"/>
      <c r="F91" s="6" t="n">
        <v>2</v>
      </c>
      <c r="G91" s="7" t="inlineStr">
        <is>
          <t>B</t>
        </is>
      </c>
    </row>
    <row r="92">
      <c r="A92" s="8" t="inlineStr">
        <is>
          <t>Maheesh Theekshana</t>
        </is>
      </c>
      <c r="B92" s="10" t="inlineStr">
        <is>
          <t>Bowler</t>
        </is>
      </c>
      <c r="C92" s="10" t="inlineStr">
        <is>
          <t>Right</t>
        </is>
      </c>
      <c r="D92" s="8" t="n"/>
      <c r="E92" s="8" t="n"/>
      <c r="F92" s="9" t="n">
        <v>2</v>
      </c>
      <c r="G92" s="10" t="inlineStr">
        <is>
          <t>B</t>
        </is>
      </c>
    </row>
    <row r="93">
      <c r="A93" s="5" t="inlineStr">
        <is>
          <t>Rahul Chahar</t>
        </is>
      </c>
      <c r="B93" s="7" t="inlineStr">
        <is>
          <t>Bowler</t>
        </is>
      </c>
      <c r="C93" s="7" t="inlineStr">
        <is>
          <t>Right</t>
        </is>
      </c>
      <c r="D93" s="5" t="n"/>
      <c r="E93" s="5" t="n"/>
      <c r="F93" s="6" t="n">
        <v>2</v>
      </c>
      <c r="G93" s="7" t="inlineStr">
        <is>
          <t>B</t>
        </is>
      </c>
    </row>
    <row r="94">
      <c r="A94" s="8" t="inlineStr">
        <is>
          <t>Suyash Sharma</t>
        </is>
      </c>
      <c r="B94" s="10" t="inlineStr">
        <is>
          <t>Bowler</t>
        </is>
      </c>
      <c r="C94" s="10" t="inlineStr">
        <is>
          <t>Right</t>
        </is>
      </c>
      <c r="D94" s="8" t="n"/>
      <c r="E94" s="8" t="n"/>
      <c r="F94" s="9" t="n">
        <v>2</v>
      </c>
      <c r="G94" s="10" t="inlineStr">
        <is>
          <t>B</t>
        </is>
      </c>
    </row>
    <row r="95">
      <c r="A95" s="5" t="inlineStr">
        <is>
          <t>Karn Sharma</t>
        </is>
      </c>
      <c r="B95" s="7" t="inlineStr">
        <is>
          <t>Bowler</t>
        </is>
      </c>
      <c r="C95" s="7" t="inlineStr">
        <is>
          <t>Right</t>
        </is>
      </c>
      <c r="D95" s="5" t="n"/>
      <c r="E95" s="5" t="n"/>
      <c r="F95" s="6" t="n">
        <v>2</v>
      </c>
      <c r="G95" s="7" t="inlineStr">
        <is>
          <t>B</t>
        </is>
      </c>
    </row>
    <row r="96">
      <c r="A96" s="8" t="inlineStr">
        <is>
          <t>M. Siddharth</t>
        </is>
      </c>
      <c r="B96" s="10" t="inlineStr">
        <is>
          <t>Bowler</t>
        </is>
      </c>
      <c r="C96" s="10" t="inlineStr">
        <is>
          <t>Left</t>
        </is>
      </c>
      <c r="D96" s="8" t="n"/>
      <c r="E96" s="8" t="n"/>
      <c r="F96" s="9" t="n">
        <v>2</v>
      </c>
      <c r="G96" s="10" t="inlineStr">
        <is>
          <t>B</t>
        </is>
      </c>
    </row>
    <row r="97">
      <c r="A97" s="5" t="inlineStr">
        <is>
          <t>Shamar Joseph</t>
        </is>
      </c>
      <c r="B97" s="7" t="inlineStr">
        <is>
          <t>Bowler</t>
        </is>
      </c>
      <c r="C97" s="7" t="inlineStr">
        <is>
          <t>Right</t>
        </is>
      </c>
      <c r="D97" s="5" t="n"/>
      <c r="E97" s="5" t="n"/>
      <c r="F97" s="6" t="n">
        <v>2</v>
      </c>
      <c r="G97" s="7" t="inlineStr">
        <is>
          <t>B</t>
        </is>
      </c>
    </row>
    <row r="98">
      <c r="A98" s="8" t="inlineStr">
        <is>
          <t>Anrich Nortje</t>
        </is>
      </c>
      <c r="B98" s="10" t="inlineStr">
        <is>
          <t>Bowler</t>
        </is>
      </c>
      <c r="C98" s="10" t="inlineStr">
        <is>
          <t>Right</t>
        </is>
      </c>
      <c r="D98" s="8" t="n"/>
      <c r="E98" s="8" t="n"/>
      <c r="F98" s="9" t="n">
        <v>2</v>
      </c>
      <c r="G98" s="10" t="inlineStr">
        <is>
          <t>B</t>
        </is>
      </c>
    </row>
    <row r="99">
      <c r="A99" s="5" t="inlineStr">
        <is>
          <t>Shivam Dube</t>
        </is>
      </c>
      <c r="B99" s="7" t="inlineStr">
        <is>
          <t>All Rounder</t>
        </is>
      </c>
      <c r="C99" s="7" t="inlineStr">
        <is>
          <t>Left</t>
        </is>
      </c>
      <c r="D99" s="5" t="n"/>
      <c r="E99" s="5" t="n"/>
      <c r="F99" s="6" t="n">
        <v>2</v>
      </c>
      <c r="G99" s="7" t="inlineStr">
        <is>
          <t>B</t>
        </is>
      </c>
    </row>
    <row r="100">
      <c r="A100" s="8" t="inlineStr">
        <is>
          <t>Shahbaz Ahmed</t>
        </is>
      </c>
      <c r="B100" s="10" t="inlineStr">
        <is>
          <t>All Rounder</t>
        </is>
      </c>
      <c r="C100" s="10" t="inlineStr">
        <is>
          <t>Left</t>
        </is>
      </c>
      <c r="D100" s="8" t="n"/>
      <c r="E100" s="8" t="n"/>
      <c r="F100" s="9" t="n">
        <v>2</v>
      </c>
      <c r="G100" s="10" t="inlineStr">
        <is>
          <t>B</t>
        </is>
      </c>
    </row>
    <row r="101">
      <c r="A101" s="5" t="inlineStr">
        <is>
          <t>Vijay Shankar</t>
        </is>
      </c>
      <c r="B101" s="7" t="inlineStr">
        <is>
          <t>All Rounder</t>
        </is>
      </c>
      <c r="C101" s="7" t="inlineStr">
        <is>
          <t>Right</t>
        </is>
      </c>
      <c r="D101" s="5" t="n"/>
      <c r="E101" s="5" t="n"/>
      <c r="F101" s="6" t="n">
        <v>2</v>
      </c>
      <c r="G101" s="7" t="inlineStr">
        <is>
          <t>B</t>
        </is>
      </c>
    </row>
    <row r="102">
      <c r="A102" s="8" t="inlineStr">
        <is>
          <t>Deepak Hooda</t>
        </is>
      </c>
      <c r="B102" s="10" t="inlineStr">
        <is>
          <t>All Rounder</t>
        </is>
      </c>
      <c r="C102" s="10" t="inlineStr">
        <is>
          <t>Right</t>
        </is>
      </c>
      <c r="D102" s="8" t="n"/>
      <c r="E102" s="8" t="n"/>
      <c r="F102" s="9" t="n">
        <v>2</v>
      </c>
      <c r="G102" s="10" t="inlineStr">
        <is>
          <t>B</t>
        </is>
      </c>
    </row>
    <row r="103">
      <c r="A103" s="5" t="inlineStr">
        <is>
          <t>Liam Livingstone</t>
        </is>
      </c>
      <c r="B103" s="7" t="inlineStr">
        <is>
          <t>All Rounder</t>
        </is>
      </c>
      <c r="C103" s="7" t="inlineStr">
        <is>
          <t>Right</t>
        </is>
      </c>
      <c r="D103" s="5" t="n"/>
      <c r="E103" s="5" t="n"/>
      <c r="F103" s="6" t="n">
        <v>2</v>
      </c>
      <c r="G103" s="7" t="inlineStr">
        <is>
          <t>B</t>
        </is>
      </c>
    </row>
    <row r="104">
      <c r="A104" s="8" t="inlineStr">
        <is>
          <t>Glenn Maxwell</t>
        </is>
      </c>
      <c r="B104" s="10" t="inlineStr">
        <is>
          <t>All Rounder</t>
        </is>
      </c>
      <c r="C104" s="10" t="inlineStr">
        <is>
          <t>Right</t>
        </is>
      </c>
      <c r="D104" s="8" t="n"/>
      <c r="E104" s="8" t="n"/>
      <c r="F104" s="9" t="n">
        <v>2</v>
      </c>
      <c r="G104" s="10" t="inlineStr">
        <is>
          <t>B</t>
        </is>
      </c>
    </row>
    <row r="105">
      <c r="A105" s="5" t="inlineStr">
        <is>
          <t>Romario Shepherd</t>
        </is>
      </c>
      <c r="B105" s="7" t="inlineStr">
        <is>
          <t>All Rounder</t>
        </is>
      </c>
      <c r="C105" s="7" t="inlineStr">
        <is>
          <t>Right</t>
        </is>
      </c>
      <c r="D105" s="5" t="n"/>
      <c r="E105" s="5" t="n"/>
      <c r="F105" s="6" t="n">
        <v>2</v>
      </c>
      <c r="G105" s="7" t="inlineStr">
        <is>
          <t>B</t>
        </is>
      </c>
    </row>
    <row r="106">
      <c r="A106" s="8" t="inlineStr">
        <is>
          <t>Marco Jansen</t>
        </is>
      </c>
      <c r="B106" s="10" t="inlineStr">
        <is>
          <t>All Rounder</t>
        </is>
      </c>
      <c r="C106" s="10" t="inlineStr">
        <is>
          <t>Left</t>
        </is>
      </c>
      <c r="D106" s="8" t="n"/>
      <c r="E106" s="8" t="n"/>
      <c r="F106" s="9" t="n">
        <v>2</v>
      </c>
      <c r="G106" s="10" t="inlineStr">
        <is>
          <t>B</t>
        </is>
      </c>
    </row>
    <row r="107">
      <c r="A107" s="5" t="inlineStr">
        <is>
          <t>Moeen Ali</t>
        </is>
      </c>
      <c r="B107" s="7" t="inlineStr">
        <is>
          <t>All Rounder</t>
        </is>
      </c>
      <c r="C107" s="7" t="inlineStr">
        <is>
          <t>Left</t>
        </is>
      </c>
      <c r="D107" s="5" t="n"/>
      <c r="E107" s="5" t="n"/>
      <c r="F107" s="6" t="n">
        <v>2</v>
      </c>
      <c r="G107" s="7" t="inlineStr">
        <is>
          <t>B</t>
        </is>
      </c>
    </row>
    <row r="108">
      <c r="A108" s="8" t="inlineStr">
        <is>
          <t>Will Jacks</t>
        </is>
      </c>
      <c r="B108" s="10" t="inlineStr">
        <is>
          <t>All Rounder</t>
        </is>
      </c>
      <c r="C108" s="10" t="inlineStr">
        <is>
          <t>Right</t>
        </is>
      </c>
      <c r="D108" s="8" t="n"/>
      <c r="E108" s="8" t="n"/>
      <c r="F108" s="9" t="n">
        <v>2</v>
      </c>
      <c r="G108" s="10" t="inlineStr">
        <is>
          <t>B</t>
        </is>
      </c>
    </row>
    <row r="109">
      <c r="A109" s="5" t="inlineStr">
        <is>
          <t>Michael Bracewell</t>
        </is>
      </c>
      <c r="B109" s="7" t="inlineStr">
        <is>
          <t>All Rounder</t>
        </is>
      </c>
      <c r="C109" s="7" t="inlineStr">
        <is>
          <t>Right</t>
        </is>
      </c>
      <c r="D109" s="5" t="n"/>
      <c r="E109" s="5" t="n"/>
      <c r="F109" s="6" t="n">
        <v>2</v>
      </c>
      <c r="G109" s="7" t="inlineStr">
        <is>
          <t>B</t>
        </is>
      </c>
    </row>
    <row r="110">
      <c r="A110" s="8" t="inlineStr">
        <is>
          <t>Azmatullah Omarzai</t>
        </is>
      </c>
      <c r="B110" s="10" t="inlineStr">
        <is>
          <t>All Rounder</t>
        </is>
      </c>
      <c r="C110" s="10" t="inlineStr">
        <is>
          <t>Right</t>
        </is>
      </c>
      <c r="D110" s="8" t="n"/>
      <c r="E110" s="8" t="n"/>
      <c r="F110" s="9" t="n">
        <v>2</v>
      </c>
      <c r="G110" s="10" t="inlineStr">
        <is>
          <t>B</t>
        </is>
      </c>
    </row>
    <row r="111">
      <c r="A111" s="5" t="inlineStr">
        <is>
          <t>Swapnil Singh</t>
        </is>
      </c>
      <c r="B111" s="7" t="inlineStr">
        <is>
          <t>All Rounder</t>
        </is>
      </c>
      <c r="C111" s="7" t="inlineStr">
        <is>
          <t>Left</t>
        </is>
      </c>
      <c r="D111" s="5" t="n"/>
      <c r="E111" s="5" t="n"/>
      <c r="F111" s="6" t="n">
        <v>2</v>
      </c>
      <c r="G111" s="7" t="inlineStr">
        <is>
          <t>B</t>
        </is>
      </c>
    </row>
    <row r="112">
      <c r="A112" s="8" t="inlineStr">
        <is>
          <t>MS Dhoni</t>
        </is>
      </c>
      <c r="B112" s="10" t="inlineStr">
        <is>
          <t>Wicketkeeper</t>
        </is>
      </c>
      <c r="C112" s="10" t="inlineStr">
        <is>
          <t>Right</t>
        </is>
      </c>
      <c r="D112" s="8" t="n"/>
      <c r="E112" s="8" t="n"/>
      <c r="F112" s="9" t="n">
        <v>2</v>
      </c>
      <c r="G112" s="10" t="inlineStr">
        <is>
          <t>B</t>
        </is>
      </c>
    </row>
    <row r="113">
      <c r="A113" s="5" t="inlineStr">
        <is>
          <t>Dhruv Jurel</t>
        </is>
      </c>
      <c r="B113" s="7" t="inlineStr">
        <is>
          <t>Wicketkeeper</t>
        </is>
      </c>
      <c r="C113" s="7" t="inlineStr">
        <is>
          <t>Right</t>
        </is>
      </c>
      <c r="D113" s="5" t="n"/>
      <c r="E113" s="5" t="n"/>
      <c r="F113" s="6" t="n">
        <v>2</v>
      </c>
      <c r="G113" s="7" t="inlineStr">
        <is>
          <t>B</t>
        </is>
      </c>
    </row>
    <row r="114">
      <c r="A114" s="8" t="inlineStr">
        <is>
          <t>Ryan Rickelton</t>
        </is>
      </c>
      <c r="B114" s="10" t="inlineStr">
        <is>
          <t>Wicketkeeper</t>
        </is>
      </c>
      <c r="C114" s="10" t="inlineStr">
        <is>
          <t>Left</t>
        </is>
      </c>
      <c r="D114" s="8" t="n"/>
      <c r="E114" s="8" t="n"/>
      <c r="F114" s="9" t="n">
        <v>2</v>
      </c>
      <c r="G114" s="10" t="inlineStr">
        <is>
          <t>B</t>
        </is>
      </c>
    </row>
    <row r="115">
      <c r="A115" s="5" t="inlineStr">
        <is>
          <t>Quinton de Kock</t>
        </is>
      </c>
      <c r="B115" s="7" t="inlineStr">
        <is>
          <t>Wicketkeeper</t>
        </is>
      </c>
      <c r="C115" s="7" t="inlineStr">
        <is>
          <t>Left</t>
        </is>
      </c>
      <c r="D115" s="5" t="n"/>
      <c r="E115" s="5" t="n"/>
      <c r="F115" s="6" t="n">
        <v>2</v>
      </c>
      <c r="G115" s="7" t="inlineStr">
        <is>
          <t>B</t>
        </is>
      </c>
    </row>
    <row r="116">
      <c r="A116" s="8" t="inlineStr">
        <is>
          <t>Rahmanullah Gurbaz</t>
        </is>
      </c>
      <c r="B116" s="10" t="inlineStr">
        <is>
          <t>Wicketkeeper</t>
        </is>
      </c>
      <c r="C116" s="10" t="inlineStr">
        <is>
          <t>Right</t>
        </is>
      </c>
      <c r="D116" s="8" t="n"/>
      <c r="E116" s="8" t="n"/>
      <c r="F116" s="9" t="n">
        <v>2</v>
      </c>
      <c r="G116" s="10" t="inlineStr">
        <is>
          <t>B</t>
        </is>
      </c>
    </row>
    <row r="117">
      <c r="A117" s="5" t="inlineStr">
        <is>
          <t>Devon Conway</t>
        </is>
      </c>
      <c r="B117" s="7" t="inlineStr">
        <is>
          <t>Wicketkeeper</t>
        </is>
      </c>
      <c r="C117" s="7" t="inlineStr">
        <is>
          <t>Left</t>
        </is>
      </c>
      <c r="D117" s="5" t="n"/>
      <c r="E117" s="5" t="n"/>
      <c r="F117" s="6" t="n">
        <v>2</v>
      </c>
      <c r="G117" s="7" t="inlineStr">
        <is>
          <t>B</t>
        </is>
      </c>
    </row>
    <row r="118">
      <c r="A118" s="8" t="inlineStr">
        <is>
          <t>Josh Inglis</t>
        </is>
      </c>
      <c r="B118" s="10" t="inlineStr">
        <is>
          <t>Wicketkeeper</t>
        </is>
      </c>
      <c r="C118" s="10" t="inlineStr">
        <is>
          <t>Right</t>
        </is>
      </c>
      <c r="D118" s="8" t="n"/>
      <c r="E118" s="8" t="n"/>
      <c r="F118" s="9" t="n">
        <v>2</v>
      </c>
      <c r="G118" s="10" t="inlineStr">
        <is>
          <t>B</t>
        </is>
      </c>
    </row>
    <row r="119">
      <c r="A119" s="5" t="inlineStr">
        <is>
          <t>Anuj Rawat</t>
        </is>
      </c>
      <c r="B119" s="7" t="inlineStr">
        <is>
          <t>Wicketkeeper</t>
        </is>
      </c>
      <c r="C119" s="7" t="inlineStr">
        <is>
          <t>Left</t>
        </is>
      </c>
      <c r="D119" s="5" t="n"/>
      <c r="E119" s="5" t="n"/>
      <c r="F119" s="6" t="n">
        <v>2</v>
      </c>
      <c r="G119" s="7" t="inlineStr">
        <is>
          <t>B</t>
        </is>
      </c>
    </row>
    <row r="120">
      <c r="A120" s="8" t="inlineStr">
        <is>
          <t>Vishnu Vinod</t>
        </is>
      </c>
      <c r="B120" s="10" t="inlineStr">
        <is>
          <t>Wicketkeeper</t>
        </is>
      </c>
      <c r="C120" s="10" t="inlineStr">
        <is>
          <t>Right</t>
        </is>
      </c>
      <c r="D120" s="8" t="n"/>
      <c r="E120" s="8" t="n"/>
      <c r="F120" s="9" t="n">
        <v>2</v>
      </c>
      <c r="G120" s="10" t="inlineStr">
        <is>
          <t>B</t>
        </is>
      </c>
    </row>
    <row r="121">
      <c r="A121" s="5" t="inlineStr">
        <is>
          <t>Robin Minz</t>
        </is>
      </c>
      <c r="B121" s="7" t="inlineStr">
        <is>
          <t>Wicketkeeper</t>
        </is>
      </c>
      <c r="C121" s="7" t="inlineStr">
        <is>
          <t>Left</t>
        </is>
      </c>
      <c r="D121" s="5" t="n"/>
      <c r="E121" s="5" t="n"/>
      <c r="F121" s="6" t="n">
        <v>2</v>
      </c>
      <c r="G121" s="7" t="inlineStr">
        <is>
          <t>B</t>
        </is>
      </c>
    </row>
    <row r="122">
      <c r="A122" s="8" t="inlineStr">
        <is>
          <t>Nitish Rana</t>
        </is>
      </c>
      <c r="B122" s="10" t="inlineStr">
        <is>
          <t>Batsman</t>
        </is>
      </c>
      <c r="C122" s="10" t="inlineStr">
        <is>
          <t>Left</t>
        </is>
      </c>
      <c r="D122" s="8" t="n"/>
      <c r="E122" s="8" t="n"/>
      <c r="F122" s="9" t="n">
        <v>1</v>
      </c>
      <c r="G122" s="10" t="inlineStr">
        <is>
          <t>C</t>
        </is>
      </c>
    </row>
    <row r="123">
      <c r="A123" s="5" t="inlineStr">
        <is>
          <t>Sarfaraz Khan</t>
        </is>
      </c>
      <c r="B123" s="7" t="inlineStr">
        <is>
          <t>Batsman</t>
        </is>
      </c>
      <c r="C123" s="7" t="inlineStr">
        <is>
          <t>Right</t>
        </is>
      </c>
      <c r="D123" s="5" t="n"/>
      <c r="E123" s="5" t="n"/>
      <c r="F123" s="6" t="n">
        <v>1</v>
      </c>
      <c r="G123" s="7" t="inlineStr">
        <is>
          <t>C</t>
        </is>
      </c>
    </row>
    <row r="124">
      <c r="A124" s="8" t="inlineStr">
        <is>
          <t>Mandeep Singh</t>
        </is>
      </c>
      <c r="B124" s="10" t="inlineStr">
        <is>
          <t>Batsman</t>
        </is>
      </c>
      <c r="C124" s="10" t="inlineStr">
        <is>
          <t>Right</t>
        </is>
      </c>
      <c r="D124" s="8" t="n"/>
      <c r="E124" s="8" t="n"/>
      <c r="F124" s="9" t="n">
        <v>1</v>
      </c>
      <c r="G124" s="10" t="inlineStr">
        <is>
          <t>C</t>
        </is>
      </c>
    </row>
    <row r="125">
      <c r="A125" s="5" t="inlineStr">
        <is>
          <t>Harpreet Bhatia</t>
        </is>
      </c>
      <c r="B125" s="7" t="inlineStr">
        <is>
          <t>Batsman</t>
        </is>
      </c>
      <c r="C125" s="7" t="inlineStr">
        <is>
          <t>Left</t>
        </is>
      </c>
      <c r="D125" s="5" t="n"/>
      <c r="E125" s="5" t="n"/>
      <c r="F125" s="6" t="n">
        <v>1</v>
      </c>
      <c r="G125" s="7" t="inlineStr">
        <is>
          <t>C</t>
        </is>
      </c>
    </row>
    <row r="126">
      <c r="A126" s="8" t="inlineStr">
        <is>
          <t>Shaik Rasheed</t>
        </is>
      </c>
      <c r="B126" s="10" t="inlineStr">
        <is>
          <t>Batsman</t>
        </is>
      </c>
      <c r="C126" s="10" t="inlineStr">
        <is>
          <t>Right</t>
        </is>
      </c>
      <c r="D126" s="8" t="n"/>
      <c r="E126" s="8" t="n"/>
      <c r="F126" s="9" t="n">
        <v>1</v>
      </c>
      <c r="G126" s="10" t="inlineStr">
        <is>
          <t>C</t>
        </is>
      </c>
    </row>
    <row r="127">
      <c r="A127" s="5" t="inlineStr">
        <is>
          <t>Harnoor Singh</t>
        </is>
      </c>
      <c r="B127" s="7" t="inlineStr">
        <is>
          <t>Batsman</t>
        </is>
      </c>
      <c r="C127" s="7" t="inlineStr">
        <is>
          <t>Left</t>
        </is>
      </c>
      <c r="D127" s="5" t="n"/>
      <c r="E127" s="5" t="n"/>
      <c r="F127" s="6" t="n">
        <v>1</v>
      </c>
      <c r="G127" s="7" t="inlineStr">
        <is>
          <t>C</t>
        </is>
      </c>
    </row>
    <row r="128">
      <c r="A128" s="8" t="inlineStr">
        <is>
          <t>Musheer Khan</t>
        </is>
      </c>
      <c r="B128" s="10" t="inlineStr">
        <is>
          <t>Batsman</t>
        </is>
      </c>
      <c r="C128" s="10" t="inlineStr">
        <is>
          <t>Right</t>
        </is>
      </c>
      <c r="D128" s="8" t="n"/>
      <c r="E128" s="8" t="n"/>
      <c r="F128" s="9" t="n">
        <v>1</v>
      </c>
      <c r="G128" s="10" t="inlineStr">
        <is>
          <t>C</t>
        </is>
      </c>
    </row>
    <row r="129">
      <c r="A129" s="5" t="inlineStr">
        <is>
          <t>Swastik Chikara</t>
        </is>
      </c>
      <c r="B129" s="7" t="inlineStr">
        <is>
          <t>Batsman</t>
        </is>
      </c>
      <c r="C129" s="7" t="inlineStr">
        <is>
          <t>Right</t>
        </is>
      </c>
      <c r="D129" s="5" t="n"/>
      <c r="E129" s="5" t="n"/>
      <c r="F129" s="6" t="n">
        <v>1</v>
      </c>
      <c r="G129" s="7" t="inlineStr">
        <is>
          <t>C</t>
        </is>
      </c>
    </row>
    <row r="130">
      <c r="A130" s="8" t="inlineStr">
        <is>
          <t>Yash Dhull</t>
        </is>
      </c>
      <c r="B130" s="10" t="inlineStr">
        <is>
          <t>Batsman</t>
        </is>
      </c>
      <c r="C130" s="10" t="inlineStr">
        <is>
          <t>Right</t>
        </is>
      </c>
      <c r="D130" s="8" t="n"/>
      <c r="E130" s="8" t="n"/>
      <c r="F130" s="9" t="n">
        <v>1</v>
      </c>
      <c r="G130" s="10" t="inlineStr">
        <is>
          <t>C</t>
        </is>
      </c>
    </row>
    <row r="131">
      <c r="A131" s="5" t="inlineStr">
        <is>
          <t>Vishnu Solanki</t>
        </is>
      </c>
      <c r="B131" s="7" t="inlineStr">
        <is>
          <t>Batsman</t>
        </is>
      </c>
      <c r="C131" s="7" t="inlineStr">
        <is>
          <t>Right</t>
        </is>
      </c>
      <c r="D131" s="5" t="n"/>
      <c r="E131" s="5" t="n"/>
      <c r="F131" s="6" t="n">
        <v>1</v>
      </c>
      <c r="G131" s="7" t="inlineStr">
        <is>
          <t>C</t>
        </is>
      </c>
    </row>
    <row r="132">
      <c r="A132" s="8" t="inlineStr">
        <is>
          <t>Rohan Kunnummal</t>
        </is>
      </c>
      <c r="B132" s="10" t="inlineStr">
        <is>
          <t>Batsman</t>
        </is>
      </c>
      <c r="C132" s="10" t="inlineStr">
        <is>
          <t>Left</t>
        </is>
      </c>
      <c r="D132" s="8" t="n"/>
      <c r="E132" s="8" t="n"/>
      <c r="F132" s="9" t="n">
        <v>1</v>
      </c>
      <c r="G132" s="10" t="inlineStr">
        <is>
          <t>C</t>
        </is>
      </c>
    </row>
    <row r="133">
      <c r="A133" s="5" t="inlineStr">
        <is>
          <t>Ricky Bhui</t>
        </is>
      </c>
      <c r="B133" s="7" t="inlineStr">
        <is>
          <t>Batsman</t>
        </is>
      </c>
      <c r="C133" s="7" t="inlineStr">
        <is>
          <t>Right</t>
        </is>
      </c>
      <c r="D133" s="5" t="n"/>
      <c r="E133" s="5" t="n"/>
      <c r="F133" s="6" t="n">
        <v>1</v>
      </c>
      <c r="G133" s="7" t="inlineStr">
        <is>
          <t>C</t>
        </is>
      </c>
    </row>
    <row r="134">
      <c r="A134" s="8" t="inlineStr">
        <is>
          <t>Virat Singh</t>
        </is>
      </c>
      <c r="B134" s="10" t="inlineStr">
        <is>
          <t>Batsman</t>
        </is>
      </c>
      <c r="C134" s="10" t="inlineStr">
        <is>
          <t>Left</t>
        </is>
      </c>
      <c r="D134" s="8" t="n"/>
      <c r="E134" s="8" t="n"/>
      <c r="F134" s="9" t="n">
        <v>1</v>
      </c>
      <c r="G134" s="10" t="inlineStr">
        <is>
          <t>C</t>
        </is>
      </c>
    </row>
    <row r="135">
      <c r="A135" s="5" t="inlineStr">
        <is>
          <t>Suyash Prabhudessai</t>
        </is>
      </c>
      <c r="B135" s="7" t="inlineStr">
        <is>
          <t>Batsman</t>
        </is>
      </c>
      <c r="C135" s="7" t="inlineStr">
        <is>
          <t>Right</t>
        </is>
      </c>
      <c r="D135" s="5" t="n"/>
      <c r="E135" s="5" t="n"/>
      <c r="F135" s="6" t="n">
        <v>1</v>
      </c>
      <c r="G135" s="7" t="inlineStr">
        <is>
          <t>C</t>
        </is>
      </c>
    </row>
    <row r="136">
      <c r="A136" s="8" t="inlineStr">
        <is>
          <t>Smaran Ravichandran</t>
        </is>
      </c>
      <c r="B136" s="10" t="inlineStr">
        <is>
          <t>Batsman</t>
        </is>
      </c>
      <c r="C136" s="10" t="inlineStr">
        <is>
          <t>Left</t>
        </is>
      </c>
      <c r="D136" s="8" t="n"/>
      <c r="E136" s="8" t="n"/>
      <c r="F136" s="9" t="n">
        <v>1</v>
      </c>
      <c r="G136" s="10" t="inlineStr">
        <is>
          <t>C</t>
        </is>
      </c>
    </row>
    <row r="137">
      <c r="A137" s="5" t="inlineStr">
        <is>
          <t>Priyam Garg</t>
        </is>
      </c>
      <c r="B137" s="7" t="inlineStr">
        <is>
          <t>Batsman</t>
        </is>
      </c>
      <c r="C137" s="7" t="inlineStr">
        <is>
          <t>Right</t>
        </is>
      </c>
      <c r="D137" s="5" t="n"/>
      <c r="E137" s="5" t="n"/>
      <c r="F137" s="6" t="n">
        <v>1</v>
      </c>
      <c r="G137" s="7" t="inlineStr">
        <is>
          <t>C</t>
        </is>
      </c>
    </row>
    <row r="138">
      <c r="A138" s="8" t="inlineStr">
        <is>
          <t>Harnoor Pannu</t>
        </is>
      </c>
      <c r="B138" s="10" t="inlineStr">
        <is>
          <t>Batsman</t>
        </is>
      </c>
      <c r="C138" s="10" t="inlineStr">
        <is>
          <t>Left</t>
        </is>
      </c>
      <c r="D138" s="8" t="n"/>
      <c r="E138" s="8" t="n"/>
      <c r="F138" s="9" t="n">
        <v>1</v>
      </c>
      <c r="G138" s="10" t="inlineStr">
        <is>
          <t>C</t>
        </is>
      </c>
    </row>
    <row r="139">
      <c r="A139" s="5" t="inlineStr">
        <is>
          <t>Karan Sharma</t>
        </is>
      </c>
      <c r="B139" s="7" t="inlineStr">
        <is>
          <t>Batsman</t>
        </is>
      </c>
      <c r="C139" s="7" t="inlineStr">
        <is>
          <t>Right</t>
        </is>
      </c>
      <c r="D139" s="5" t="n"/>
      <c r="E139" s="5" t="n"/>
      <c r="F139" s="6" t="n">
        <v>1</v>
      </c>
      <c r="G139" s="7" t="inlineStr">
        <is>
          <t>C</t>
        </is>
      </c>
    </row>
    <row r="140">
      <c r="A140" s="8" t="inlineStr">
        <is>
          <t>Rohan Patil</t>
        </is>
      </c>
      <c r="B140" s="10" t="inlineStr">
        <is>
          <t>Batsman</t>
        </is>
      </c>
      <c r="C140" s="10" t="inlineStr">
        <is>
          <t>Left</t>
        </is>
      </c>
      <c r="D140" s="8" t="n"/>
      <c r="E140" s="8" t="n"/>
      <c r="F140" s="9" t="n">
        <v>1</v>
      </c>
      <c r="G140" s="10" t="inlineStr">
        <is>
          <t>C</t>
        </is>
      </c>
    </row>
    <row r="141">
      <c r="A141" s="5" t="inlineStr">
        <is>
          <t>Shubham Dubey</t>
        </is>
      </c>
      <c r="B141" s="7" t="inlineStr">
        <is>
          <t>Batsman</t>
        </is>
      </c>
      <c r="C141" s="7" t="inlineStr">
        <is>
          <t>Left</t>
        </is>
      </c>
      <c r="D141" s="5" t="n"/>
      <c r="E141" s="5" t="n"/>
      <c r="F141" s="6" t="n">
        <v>1</v>
      </c>
      <c r="G141" s="7" t="inlineStr">
        <is>
          <t>C</t>
        </is>
      </c>
    </row>
    <row r="142">
      <c r="A142" s="8" t="inlineStr">
        <is>
          <t>Pukhraj Mann</t>
        </is>
      </c>
      <c r="B142" s="10" t="inlineStr">
        <is>
          <t>Batsman</t>
        </is>
      </c>
      <c r="C142" s="10" t="inlineStr">
        <is>
          <t>Right</t>
        </is>
      </c>
      <c r="D142" s="8" t="n"/>
      <c r="E142" s="8" t="n"/>
      <c r="F142" s="9" t="n">
        <v>1</v>
      </c>
      <c r="G142" s="10" t="inlineStr">
        <is>
          <t>C</t>
        </is>
      </c>
    </row>
    <row r="143">
      <c r="A143" s="5" t="inlineStr">
        <is>
          <t>Ansh Gosai</t>
        </is>
      </c>
      <c r="B143" s="7" t="inlineStr">
        <is>
          <t>Batsman</t>
        </is>
      </c>
      <c r="C143" s="7" t="inlineStr">
        <is>
          <t>Left</t>
        </is>
      </c>
      <c r="D143" s="5" t="n"/>
      <c r="E143" s="5" t="n"/>
      <c r="F143" s="6" t="n">
        <v>1</v>
      </c>
      <c r="G143" s="7" t="inlineStr">
        <is>
          <t>C</t>
        </is>
      </c>
    </row>
    <row r="144">
      <c r="A144" s="8" t="inlineStr">
        <is>
          <t>Saurabh Chauhan</t>
        </is>
      </c>
      <c r="B144" s="10" t="inlineStr">
        <is>
          <t>Batsman</t>
        </is>
      </c>
      <c r="C144" s="10" t="inlineStr">
        <is>
          <t>Left</t>
        </is>
      </c>
      <c r="D144" s="8" t="n"/>
      <c r="E144" s="8" t="n"/>
      <c r="F144" s="9" t="n">
        <v>1</v>
      </c>
      <c r="G144" s="10" t="inlineStr">
        <is>
          <t>C</t>
        </is>
      </c>
    </row>
    <row r="145">
      <c r="A145" s="5" t="inlineStr">
        <is>
          <t>Arshin Kulkarni</t>
        </is>
      </c>
      <c r="B145" s="7" t="inlineStr">
        <is>
          <t>Batsman</t>
        </is>
      </c>
      <c r="C145" s="7" t="inlineStr">
        <is>
          <t>Left</t>
        </is>
      </c>
      <c r="D145" s="5" t="n"/>
      <c r="E145" s="5" t="n"/>
      <c r="F145" s="6" t="n">
        <v>1</v>
      </c>
      <c r="G145" s="7" t="inlineStr">
        <is>
          <t>C</t>
        </is>
      </c>
    </row>
    <row r="146">
      <c r="A146" s="8" t="inlineStr">
        <is>
          <t>Arpit Guleria</t>
        </is>
      </c>
      <c r="B146" s="10" t="inlineStr">
        <is>
          <t>Batsman</t>
        </is>
      </c>
      <c r="C146" s="10" t="inlineStr">
        <is>
          <t>Right</t>
        </is>
      </c>
      <c r="D146" s="8" t="n"/>
      <c r="E146" s="8" t="n"/>
      <c r="F146" s="9" t="n">
        <v>1</v>
      </c>
      <c r="G146" s="10" t="inlineStr">
        <is>
          <t>C</t>
        </is>
      </c>
    </row>
    <row r="147">
      <c r="A147" s="5" t="inlineStr">
        <is>
          <t>Ravichandran Smaran</t>
        </is>
      </c>
      <c r="B147" s="7" t="inlineStr">
        <is>
          <t>Batsman</t>
        </is>
      </c>
      <c r="C147" s="7" t="inlineStr">
        <is>
          <t>Left</t>
        </is>
      </c>
      <c r="D147" s="5" t="n"/>
      <c r="E147" s="5" t="n"/>
      <c r="F147" s="6" t="n">
        <v>1</v>
      </c>
      <c r="G147" s="7" t="inlineStr">
        <is>
          <t>C</t>
        </is>
      </c>
    </row>
    <row r="148">
      <c r="A148" s="8" t="inlineStr">
        <is>
          <t>Himmat Singh</t>
        </is>
      </c>
      <c r="B148" s="10" t="inlineStr">
        <is>
          <t>Batsman</t>
        </is>
      </c>
      <c r="C148" s="10" t="inlineStr">
        <is>
          <t>Right</t>
        </is>
      </c>
      <c r="D148" s="8" t="n"/>
      <c r="E148" s="8" t="n"/>
      <c r="F148" s="9" t="n">
        <v>1</v>
      </c>
      <c r="G148" s="10" t="inlineStr">
        <is>
          <t>C</t>
        </is>
      </c>
    </row>
    <row r="149">
      <c r="A149" s="5" t="inlineStr">
        <is>
          <t>Utkarsh Singh</t>
        </is>
      </c>
      <c r="B149" s="7" t="inlineStr">
        <is>
          <t>Batsman</t>
        </is>
      </c>
      <c r="C149" s="7" t="inlineStr">
        <is>
          <t>Left</t>
        </is>
      </c>
      <c r="D149" s="5" t="n"/>
      <c r="E149" s="5" t="n"/>
      <c r="F149" s="6" t="n">
        <v>1</v>
      </c>
      <c r="G149" s="7" t="inlineStr">
        <is>
          <t>C</t>
        </is>
      </c>
    </row>
    <row r="150">
      <c r="A150" s="8" t="inlineStr">
        <is>
          <t>Sandeep Warrier</t>
        </is>
      </c>
      <c r="B150" s="10" t="inlineStr">
        <is>
          <t>Batsman</t>
        </is>
      </c>
      <c r="C150" s="10" t="inlineStr">
        <is>
          <t>Right</t>
        </is>
      </c>
      <c r="D150" s="8" t="n"/>
      <c r="E150" s="8" t="n"/>
      <c r="F150" s="9" t="n">
        <v>1</v>
      </c>
      <c r="G150" s="10" t="inlineStr">
        <is>
          <t>C</t>
        </is>
      </c>
    </row>
    <row r="151">
      <c r="A151" s="5" t="inlineStr">
        <is>
          <t>Shoun Roger</t>
        </is>
      </c>
      <c r="B151" s="7" t="inlineStr">
        <is>
          <t>Batsman</t>
        </is>
      </c>
      <c r="C151" s="7" t="inlineStr">
        <is>
          <t>Left</t>
        </is>
      </c>
      <c r="D151" s="5" t="n"/>
      <c r="E151" s="5" t="n"/>
      <c r="F151" s="6" t="n">
        <v>1</v>
      </c>
      <c r="G151" s="7" t="inlineStr">
        <is>
          <t>C</t>
        </is>
      </c>
    </row>
    <row r="152">
      <c r="A152" s="8" t="inlineStr">
        <is>
          <t>Navdeep Saini</t>
        </is>
      </c>
      <c r="B152" s="10" t="inlineStr">
        <is>
          <t>Bowler</t>
        </is>
      </c>
      <c r="C152" s="10" t="inlineStr">
        <is>
          <t>Right</t>
        </is>
      </c>
      <c r="D152" s="8" t="n"/>
      <c r="E152" s="8" t="n"/>
      <c r="F152" s="9" t="n">
        <v>1</v>
      </c>
      <c r="G152" s="10" t="inlineStr">
        <is>
          <t>C</t>
        </is>
      </c>
    </row>
    <row r="153">
      <c r="A153" s="5" t="inlineStr">
        <is>
          <t>Umesh Yadav</t>
        </is>
      </c>
      <c r="B153" s="7" t="inlineStr">
        <is>
          <t>Bowler</t>
        </is>
      </c>
      <c r="C153" s="7" t="inlineStr">
        <is>
          <t>Right</t>
        </is>
      </c>
      <c r="D153" s="5" t="n"/>
      <c r="E153" s="5" t="n"/>
      <c r="F153" s="6" t="n">
        <v>1</v>
      </c>
      <c r="G153" s="7" t="inlineStr">
        <is>
          <t>C</t>
        </is>
      </c>
    </row>
    <row r="154">
      <c r="A154" s="8" t="inlineStr">
        <is>
          <t>Ishant Sharma</t>
        </is>
      </c>
      <c r="B154" s="10" t="inlineStr">
        <is>
          <t>Bowler</t>
        </is>
      </c>
      <c r="C154" s="10" t="inlineStr">
        <is>
          <t>Right</t>
        </is>
      </c>
      <c r="D154" s="8" t="n"/>
      <c r="E154" s="8" t="n"/>
      <c r="F154" s="9" t="n">
        <v>1</v>
      </c>
      <c r="G154" s="10" t="inlineStr">
        <is>
          <t>C</t>
        </is>
      </c>
    </row>
    <row r="155">
      <c r="A155" s="5" t="inlineStr">
        <is>
          <t>Sandeep Sharma</t>
        </is>
      </c>
      <c r="B155" s="7" t="inlineStr">
        <is>
          <t>Bowler</t>
        </is>
      </c>
      <c r="C155" s="7" t="inlineStr">
        <is>
          <t>Right</t>
        </is>
      </c>
      <c r="D155" s="5" t="n"/>
      <c r="E155" s="5" t="n"/>
      <c r="F155" s="6" t="n">
        <v>1</v>
      </c>
      <c r="G155" s="7" t="inlineStr">
        <is>
          <t>C</t>
        </is>
      </c>
    </row>
    <row r="156">
      <c r="A156" s="8" t="inlineStr">
        <is>
          <t>Chetan Sakariya</t>
        </is>
      </c>
      <c r="B156" s="10" t="inlineStr">
        <is>
          <t>Bowler</t>
        </is>
      </c>
      <c r="C156" s="10" t="inlineStr">
        <is>
          <t>Left</t>
        </is>
      </c>
      <c r="D156" s="8" t="n"/>
      <c r="E156" s="8" t="n"/>
      <c r="F156" s="9" t="n">
        <v>1</v>
      </c>
      <c r="G156" s="10" t="inlineStr">
        <is>
          <t>C</t>
        </is>
      </c>
    </row>
    <row r="157">
      <c r="A157" s="5" t="inlineStr">
        <is>
          <t>Kartik Tyagi</t>
        </is>
      </c>
      <c r="B157" s="7" t="inlineStr">
        <is>
          <t>Bowler</t>
        </is>
      </c>
      <c r="C157" s="7" t="inlineStr">
        <is>
          <t>Right</t>
        </is>
      </c>
      <c r="D157" s="5" t="n"/>
      <c r="E157" s="5" t="n"/>
      <c r="F157" s="6" t="n">
        <v>1</v>
      </c>
      <c r="G157" s="7" t="inlineStr">
        <is>
          <t>C</t>
        </is>
      </c>
    </row>
    <row r="158">
      <c r="A158" s="8" t="inlineStr">
        <is>
          <t>Vidwath Kaverappa</t>
        </is>
      </c>
      <c r="B158" s="10" t="inlineStr">
        <is>
          <t>Bowler</t>
        </is>
      </c>
      <c r="C158" s="10" t="inlineStr">
        <is>
          <t>Right</t>
        </is>
      </c>
      <c r="D158" s="8" t="n"/>
      <c r="E158" s="8" t="n"/>
      <c r="F158" s="9" t="n">
        <v>1</v>
      </c>
      <c r="G158" s="10" t="inlineStr">
        <is>
          <t>C</t>
        </is>
      </c>
    </row>
    <row r="159">
      <c r="A159" s="5" t="inlineStr">
        <is>
          <t>Rasikh Dar Salam</t>
        </is>
      </c>
      <c r="B159" s="7" t="inlineStr">
        <is>
          <t>Bowler</t>
        </is>
      </c>
      <c r="C159" s="7" t="inlineStr">
        <is>
          <t>Right</t>
        </is>
      </c>
      <c r="D159" s="5" t="n"/>
      <c r="E159" s="5" t="n"/>
      <c r="F159" s="6" t="n">
        <v>1</v>
      </c>
      <c r="G159" s="7" t="inlineStr">
        <is>
          <t>C</t>
        </is>
      </c>
    </row>
    <row r="160">
      <c r="A160" s="8" t="inlineStr">
        <is>
          <t>Vaibhav Arora</t>
        </is>
      </c>
      <c r="B160" s="10" t="inlineStr">
        <is>
          <t>Bowler</t>
        </is>
      </c>
      <c r="C160" s="10" t="inlineStr">
        <is>
          <t>Right</t>
        </is>
      </c>
      <c r="D160" s="8" t="n"/>
      <c r="E160" s="8" t="n"/>
      <c r="F160" s="9" t="n">
        <v>1</v>
      </c>
      <c r="G160" s="10" t="inlineStr">
        <is>
          <t>C</t>
        </is>
      </c>
    </row>
    <row r="161">
      <c r="A161" s="5" t="inlineStr">
        <is>
          <t>Arjun Tendulkar</t>
        </is>
      </c>
      <c r="B161" s="7" t="inlineStr">
        <is>
          <t>Bowler</t>
        </is>
      </c>
      <c r="C161" s="7" t="inlineStr">
        <is>
          <t>Left</t>
        </is>
      </c>
      <c r="D161" s="5" t="n"/>
      <c r="E161" s="5" t="n"/>
      <c r="F161" s="6" t="n">
        <v>1</v>
      </c>
      <c r="G161" s="7" t="inlineStr">
        <is>
          <t>C</t>
        </is>
      </c>
    </row>
    <row r="162">
      <c r="A162" s="8" t="inlineStr">
        <is>
          <t>Xavier Bartlett</t>
        </is>
      </c>
      <c r="B162" s="10" t="inlineStr">
        <is>
          <t>Bowler</t>
        </is>
      </c>
      <c r="C162" s="10" t="inlineStr">
        <is>
          <t>Right</t>
        </is>
      </c>
      <c r="D162" s="8" t="n"/>
      <c r="E162" s="8" t="n"/>
      <c r="F162" s="9" t="n">
        <v>1</v>
      </c>
      <c r="G162" s="10" t="inlineStr">
        <is>
          <t>C</t>
        </is>
      </c>
    </row>
    <row r="163">
      <c r="A163" s="5" t="inlineStr">
        <is>
          <t>Nathan Ellis</t>
        </is>
      </c>
      <c r="B163" s="7" t="inlineStr">
        <is>
          <t>Bowler</t>
        </is>
      </c>
      <c r="C163" s="7" t="inlineStr">
        <is>
          <t>Right</t>
        </is>
      </c>
      <c r="D163" s="5" t="n"/>
      <c r="E163" s="5" t="n"/>
      <c r="F163" s="6" t="n">
        <v>1</v>
      </c>
      <c r="G163" s="7" t="inlineStr">
        <is>
          <t>C</t>
        </is>
      </c>
    </row>
    <row r="164">
      <c r="A164" s="8" t="inlineStr">
        <is>
          <t>Mustafizur Rahman</t>
        </is>
      </c>
      <c r="B164" s="10" t="inlineStr">
        <is>
          <t>Bowler</t>
        </is>
      </c>
      <c r="C164" s="10" t="inlineStr">
        <is>
          <t>Left</t>
        </is>
      </c>
      <c r="D164" s="8" t="n"/>
      <c r="E164" s="8" t="n"/>
      <c r="F164" s="9" t="n">
        <v>1</v>
      </c>
      <c r="G164" s="10" t="inlineStr">
        <is>
          <t>C</t>
        </is>
      </c>
    </row>
    <row r="165">
      <c r="A165" s="5" t="inlineStr">
        <is>
          <t>Alzarri Joseph</t>
        </is>
      </c>
      <c r="B165" s="7" t="inlineStr">
        <is>
          <t>Bowler</t>
        </is>
      </c>
      <c r="C165" s="7" t="inlineStr">
        <is>
          <t>Right</t>
        </is>
      </c>
      <c r="D165" s="5" t="n"/>
      <c r="E165" s="5" t="n"/>
      <c r="F165" s="6" t="n">
        <v>1</v>
      </c>
      <c r="G165" s="7" t="inlineStr">
        <is>
          <t>C</t>
        </is>
      </c>
    </row>
    <row r="166">
      <c r="A166" s="8" t="inlineStr">
        <is>
          <t>Fazalhaq Farooqi</t>
        </is>
      </c>
      <c r="B166" s="10" t="inlineStr">
        <is>
          <t>Bowler</t>
        </is>
      </c>
      <c r="C166" s="10" t="inlineStr">
        <is>
          <t>Left</t>
        </is>
      </c>
      <c r="D166" s="8" t="n"/>
      <c r="E166" s="8" t="n"/>
      <c r="F166" s="9" t="n">
        <v>1</v>
      </c>
      <c r="G166" s="10" t="inlineStr">
        <is>
          <t>C</t>
        </is>
      </c>
    </row>
    <row r="167">
      <c r="A167" s="5" t="inlineStr">
        <is>
          <t>Naveen-ul-Haq</t>
        </is>
      </c>
      <c r="B167" s="7" t="inlineStr">
        <is>
          <t>Bowler</t>
        </is>
      </c>
      <c r="C167" s="7" t="inlineStr">
        <is>
          <t>Right</t>
        </is>
      </c>
      <c r="D167" s="5" t="n"/>
      <c r="E167" s="5" t="n"/>
      <c r="F167" s="6" t="n">
        <v>1</v>
      </c>
      <c r="G167" s="7" t="inlineStr">
        <is>
          <t>C</t>
        </is>
      </c>
    </row>
    <row r="168">
      <c r="A168" s="8" t="inlineStr">
        <is>
          <t>Reece Topley</t>
        </is>
      </c>
      <c r="B168" s="10" t="inlineStr">
        <is>
          <t>Bowler</t>
        </is>
      </c>
      <c r="C168" s="10" t="inlineStr">
        <is>
          <t>Left</t>
        </is>
      </c>
      <c r="D168" s="8" t="n"/>
      <c r="E168" s="8" t="n"/>
      <c r="F168" s="9" t="n">
        <v>1</v>
      </c>
      <c r="G168" s="10" t="inlineStr">
        <is>
          <t>C</t>
        </is>
      </c>
    </row>
    <row r="169">
      <c r="A169" s="5" t="inlineStr">
        <is>
          <t>Blessing Muzarabani</t>
        </is>
      </c>
      <c r="B169" s="7" t="inlineStr">
        <is>
          <t>Bowler</t>
        </is>
      </c>
      <c r="C169" s="7" t="inlineStr">
        <is>
          <t>Right</t>
        </is>
      </c>
      <c r="D169" s="5" t="n"/>
      <c r="E169" s="5" t="n"/>
      <c r="F169" s="6" t="n">
        <v>1</v>
      </c>
      <c r="G169" s="7" t="inlineStr">
        <is>
          <t>C</t>
        </is>
      </c>
    </row>
    <row r="170">
      <c r="A170" s="8" t="inlineStr">
        <is>
          <t>Adam Zampa</t>
        </is>
      </c>
      <c r="B170" s="10" t="inlineStr">
        <is>
          <t>Bowler</t>
        </is>
      </c>
      <c r="C170" s="10" t="inlineStr">
        <is>
          <t>Right</t>
        </is>
      </c>
      <c r="D170" s="8" t="n"/>
      <c r="E170" s="8" t="n"/>
      <c r="F170" s="9" t="n">
        <v>1</v>
      </c>
      <c r="G170" s="10" t="inlineStr">
        <is>
          <t>C</t>
        </is>
      </c>
    </row>
    <row r="171">
      <c r="A171" s="5" t="inlineStr">
        <is>
          <t>Tabraiz Shamsi</t>
        </is>
      </c>
      <c r="B171" s="7" t="inlineStr">
        <is>
          <t>Bowler</t>
        </is>
      </c>
      <c r="C171" s="7" t="inlineStr">
        <is>
          <t>Left</t>
        </is>
      </c>
      <c r="D171" s="5" t="n"/>
      <c r="E171" s="5" t="n"/>
      <c r="F171" s="6" t="n">
        <v>1</v>
      </c>
      <c r="G171" s="7" t="inlineStr">
        <is>
          <t>C</t>
        </is>
      </c>
    </row>
    <row r="172">
      <c r="A172" s="8" t="inlineStr">
        <is>
          <t>Mujeeb Ur Rahman</t>
        </is>
      </c>
      <c r="B172" s="10" t="inlineStr">
        <is>
          <t>Bowler</t>
        </is>
      </c>
      <c r="C172" s="10" t="inlineStr">
        <is>
          <t>Right</t>
        </is>
      </c>
      <c r="D172" s="8" t="n"/>
      <c r="E172" s="8" t="n"/>
      <c r="F172" s="9" t="n">
        <v>1</v>
      </c>
      <c r="G172" s="10" t="inlineStr">
        <is>
          <t>C</t>
        </is>
      </c>
    </row>
    <row r="173">
      <c r="A173" s="5" t="inlineStr">
        <is>
          <t>Adil Rashid</t>
        </is>
      </c>
      <c r="B173" s="7" t="inlineStr">
        <is>
          <t>Bowler</t>
        </is>
      </c>
      <c r="C173" s="7" t="inlineStr">
        <is>
          <t>Right</t>
        </is>
      </c>
      <c r="D173" s="5" t="n"/>
      <c r="E173" s="5" t="n"/>
      <c r="F173" s="6" t="n">
        <v>1</v>
      </c>
      <c r="G173" s="7" t="inlineStr">
        <is>
          <t>C</t>
        </is>
      </c>
    </row>
    <row r="174">
      <c r="A174" s="8" t="inlineStr">
        <is>
          <t>Kumar Kartikeya</t>
        </is>
      </c>
      <c r="B174" s="10" t="inlineStr">
        <is>
          <t>Bowler</t>
        </is>
      </c>
      <c r="C174" s="10" t="inlineStr">
        <is>
          <t>Left</t>
        </is>
      </c>
      <c r="D174" s="8" t="n"/>
      <c r="E174" s="8" t="n"/>
      <c r="F174" s="9" t="n">
        <v>1</v>
      </c>
      <c r="G174" s="10" t="inlineStr">
        <is>
          <t>C</t>
        </is>
      </c>
    </row>
    <row r="175">
      <c r="A175" s="5" t="inlineStr">
        <is>
          <t>Shreyas Gopal</t>
        </is>
      </c>
      <c r="B175" s="7" t="inlineStr">
        <is>
          <t>Bowler</t>
        </is>
      </c>
      <c r="C175" s="7" t="inlineStr">
        <is>
          <t>Right</t>
        </is>
      </c>
      <c r="D175" s="5" t="n"/>
      <c r="E175" s="5" t="n"/>
      <c r="F175" s="6" t="n">
        <v>1</v>
      </c>
      <c r="G175" s="7" t="inlineStr">
        <is>
          <t>C</t>
        </is>
      </c>
    </row>
    <row r="176">
      <c r="A176" s="8" t="inlineStr">
        <is>
          <t>Digvesh Rathi</t>
        </is>
      </c>
      <c r="B176" s="10" t="inlineStr">
        <is>
          <t>Bowler</t>
        </is>
      </c>
      <c r="C176" s="10" t="inlineStr">
        <is>
          <t>Right</t>
        </is>
      </c>
      <c r="D176" s="8" t="n"/>
      <c r="E176" s="8" t="n"/>
      <c r="F176" s="9" t="n">
        <v>1</v>
      </c>
      <c r="G176" s="10" t="inlineStr">
        <is>
          <t>C</t>
        </is>
      </c>
    </row>
    <row r="177">
      <c r="A177" s="5" t="inlineStr">
        <is>
          <t>Yuvraj Choudhary</t>
        </is>
      </c>
      <c r="B177" s="7" t="inlineStr">
        <is>
          <t>Bowler</t>
        </is>
      </c>
      <c r="C177" s="7" t="inlineStr">
        <is>
          <t>Left</t>
        </is>
      </c>
      <c r="D177" s="5" t="n"/>
      <c r="E177" s="5" t="n"/>
      <c r="F177" s="6" t="n">
        <v>1</v>
      </c>
      <c r="G177" s="7" t="inlineStr">
        <is>
          <t>C</t>
        </is>
      </c>
    </row>
    <row r="178">
      <c r="A178" s="8" t="inlineStr">
        <is>
          <t>Zeeshan Ansari</t>
        </is>
      </c>
      <c r="B178" s="10" t="inlineStr">
        <is>
          <t>Bowler</t>
        </is>
      </c>
      <c r="C178" s="10" t="inlineStr">
        <is>
          <t>Right</t>
        </is>
      </c>
      <c r="D178" s="8" t="n"/>
      <c r="E178" s="8" t="n"/>
      <c r="F178" s="9" t="n">
        <v>1</v>
      </c>
      <c r="G178" s="10" t="inlineStr">
        <is>
          <t>C</t>
        </is>
      </c>
    </row>
    <row r="179">
      <c r="A179" s="5" t="inlineStr">
        <is>
          <t>Pravin Dubey</t>
        </is>
      </c>
      <c r="B179" s="7" t="inlineStr">
        <is>
          <t>Bowler</t>
        </is>
      </c>
      <c r="C179" s="7" t="inlineStr">
        <is>
          <t>Right</t>
        </is>
      </c>
      <c r="D179" s="5" t="n"/>
      <c r="E179" s="5" t="n"/>
      <c r="F179" s="6" t="n">
        <v>1</v>
      </c>
      <c r="G179" s="7" t="inlineStr">
        <is>
          <t>C</t>
        </is>
      </c>
    </row>
    <row r="180">
      <c r="A180" s="8" t="inlineStr">
        <is>
          <t>Murugan Ashwin</t>
        </is>
      </c>
      <c r="B180" s="10" t="inlineStr">
        <is>
          <t>Bowler</t>
        </is>
      </c>
      <c r="C180" s="10" t="inlineStr">
        <is>
          <t>Right</t>
        </is>
      </c>
      <c r="D180" s="8" t="n"/>
      <c r="E180" s="8" t="n"/>
      <c r="F180" s="9" t="n">
        <v>1</v>
      </c>
      <c r="G180" s="10" t="inlineStr">
        <is>
          <t>C</t>
        </is>
      </c>
    </row>
    <row r="181">
      <c r="A181" s="5" t="inlineStr">
        <is>
          <t>Akash Singh</t>
        </is>
      </c>
      <c r="B181" s="7" t="inlineStr">
        <is>
          <t>Bowler</t>
        </is>
      </c>
      <c r="C181" s="7" t="inlineStr">
        <is>
          <t>Left</t>
        </is>
      </c>
      <c r="D181" s="5" t="n"/>
      <c r="E181" s="5" t="n"/>
      <c r="F181" s="6" t="n">
        <v>1</v>
      </c>
      <c r="G181" s="7" t="inlineStr">
        <is>
          <t>C</t>
        </is>
      </c>
    </row>
    <row r="182">
      <c r="A182" s="8" t="inlineStr">
        <is>
          <t>Ravichandran Ashwin</t>
        </is>
      </c>
      <c r="B182" s="10" t="inlineStr">
        <is>
          <t>All Rounder</t>
        </is>
      </c>
      <c r="C182" s="10" t="inlineStr">
        <is>
          <t>Right</t>
        </is>
      </c>
      <c r="D182" s="8" t="n"/>
      <c r="E182" s="8" t="n"/>
      <c r="F182" s="9" t="n">
        <v>1</v>
      </c>
      <c r="G182" s="10" t="inlineStr">
        <is>
          <t>C</t>
        </is>
      </c>
    </row>
    <row r="183">
      <c r="A183" s="5" t="inlineStr">
        <is>
          <t>Mitchell Santner</t>
        </is>
      </c>
      <c r="B183" s="7" t="inlineStr">
        <is>
          <t>All Rounder</t>
        </is>
      </c>
      <c r="C183" s="7" t="inlineStr">
        <is>
          <t>Left</t>
        </is>
      </c>
      <c r="D183" s="5" t="n"/>
      <c r="E183" s="5" t="n"/>
      <c r="F183" s="6" t="n">
        <v>1</v>
      </c>
      <c r="G183" s="7" t="inlineStr">
        <is>
          <t>C</t>
        </is>
      </c>
    </row>
    <row r="184">
      <c r="A184" s="8" t="inlineStr">
        <is>
          <t>Krishnappa Gowtham</t>
        </is>
      </c>
      <c r="B184" s="10" t="inlineStr">
        <is>
          <t>All Rounder</t>
        </is>
      </c>
      <c r="C184" s="10" t="inlineStr">
        <is>
          <t>Right</t>
        </is>
      </c>
      <c r="D184" s="8" t="n"/>
      <c r="E184" s="8" t="n"/>
      <c r="F184" s="9" t="n">
        <v>1</v>
      </c>
      <c r="G184" s="10" t="inlineStr">
        <is>
          <t>C</t>
        </is>
      </c>
    </row>
    <row r="185">
      <c r="A185" s="5" t="inlineStr">
        <is>
          <t>Sikandar Raza</t>
        </is>
      </c>
      <c r="B185" s="7" t="inlineStr">
        <is>
          <t>All Rounder</t>
        </is>
      </c>
      <c r="C185" s="7" t="inlineStr">
        <is>
          <t>Right</t>
        </is>
      </c>
      <c r="D185" s="5" t="inlineStr">
        <is>
          <t>Zimbabwe</t>
        </is>
      </c>
      <c r="E185" s="5" t="n"/>
      <c r="F185" s="6" t="n">
        <v>1</v>
      </c>
      <c r="G185" s="7" t="inlineStr">
        <is>
          <t>C</t>
        </is>
      </c>
    </row>
    <row r="186">
      <c r="A186" s="8" t="inlineStr">
        <is>
          <t>Shakib Al Hasan</t>
        </is>
      </c>
      <c r="B186" s="10" t="inlineStr">
        <is>
          <t>All Rounder</t>
        </is>
      </c>
      <c r="C186" s="10" t="inlineStr">
        <is>
          <t>Left</t>
        </is>
      </c>
      <c r="D186" s="8" t="inlineStr">
        <is>
          <t>Bangladesh</t>
        </is>
      </c>
      <c r="E186" s="8" t="n"/>
      <c r="F186" s="9" t="n">
        <v>1</v>
      </c>
      <c r="G186" s="10" t="inlineStr">
        <is>
          <t>C</t>
        </is>
      </c>
    </row>
    <row r="187">
      <c r="A187" s="5" t="inlineStr">
        <is>
          <t>Daryl Mitchell</t>
        </is>
      </c>
      <c r="B187" s="7" t="inlineStr">
        <is>
          <t>All Rounder</t>
        </is>
      </c>
      <c r="C187" s="7" t="inlineStr">
        <is>
          <t>Right</t>
        </is>
      </c>
      <c r="D187" s="5" t="n"/>
      <c r="E187" s="5" t="n"/>
      <c r="F187" s="6" t="n">
        <v>1</v>
      </c>
      <c r="G187" s="7" t="inlineStr">
        <is>
          <t>C</t>
        </is>
      </c>
    </row>
    <row r="188">
      <c r="A188" s="8" t="inlineStr">
        <is>
          <t>Roston Chase</t>
        </is>
      </c>
      <c r="B188" s="10" t="inlineStr">
        <is>
          <t>All Rounder</t>
        </is>
      </c>
      <c r="C188" s="10" t="inlineStr">
        <is>
          <t>Right</t>
        </is>
      </c>
      <c r="D188" s="8" t="inlineStr">
        <is>
          <t>West Indies</t>
        </is>
      </c>
      <c r="E188" s="8" t="n"/>
      <c r="F188" s="9" t="n">
        <v>1</v>
      </c>
      <c r="G188" s="10" t="inlineStr">
        <is>
          <t>C</t>
        </is>
      </c>
    </row>
    <row r="189">
      <c r="A189" s="5" t="inlineStr">
        <is>
          <t>Odean Smith</t>
        </is>
      </c>
      <c r="B189" s="7" t="inlineStr">
        <is>
          <t>All Rounder</t>
        </is>
      </c>
      <c r="C189" s="7" t="inlineStr">
        <is>
          <t>Right</t>
        </is>
      </c>
      <c r="D189" s="5" t="n"/>
      <c r="E189" s="5" t="n"/>
      <c r="F189" s="6" t="n">
        <v>1</v>
      </c>
      <c r="G189" s="7" t="inlineStr">
        <is>
          <t>C</t>
        </is>
      </c>
    </row>
    <row r="190">
      <c r="A190" s="8" t="inlineStr">
        <is>
          <t>Chamika Karunaratne</t>
        </is>
      </c>
      <c r="B190" s="10" t="inlineStr">
        <is>
          <t>All Rounder</t>
        </is>
      </c>
      <c r="C190" s="10" t="inlineStr">
        <is>
          <t>Right</t>
        </is>
      </c>
      <c r="D190" s="8" t="inlineStr">
        <is>
          <t>Sri Lanka</t>
        </is>
      </c>
      <c r="E190" s="8" t="n"/>
      <c r="F190" s="9" t="n">
        <v>1</v>
      </c>
      <c r="G190" s="10" t="inlineStr">
        <is>
          <t>C</t>
        </is>
      </c>
    </row>
    <row r="191">
      <c r="A191" s="5" t="inlineStr">
        <is>
          <t>Daniel Sams</t>
        </is>
      </c>
      <c r="B191" s="7" t="inlineStr">
        <is>
          <t>All Rounder</t>
        </is>
      </c>
      <c r="C191" s="7" t="inlineStr">
        <is>
          <t>Left</t>
        </is>
      </c>
      <c r="D191" s="5" t="n"/>
      <c r="E191" s="5" t="n"/>
      <c r="F191" s="6" t="n">
        <v>1</v>
      </c>
      <c r="G191" s="7" t="inlineStr">
        <is>
          <t>C</t>
        </is>
      </c>
    </row>
    <row r="192">
      <c r="A192" s="8" t="inlineStr">
        <is>
          <t>Matthew Short</t>
        </is>
      </c>
      <c r="B192" s="10" t="inlineStr">
        <is>
          <t>All Rounder</t>
        </is>
      </c>
      <c r="C192" s="10" t="inlineStr">
        <is>
          <t>Right</t>
        </is>
      </c>
      <c r="D192" s="8" t="n"/>
      <c r="E192" s="8" t="n"/>
      <c r="F192" s="9" t="n">
        <v>1</v>
      </c>
      <c r="G192" s="10" t="inlineStr">
        <is>
          <t>C</t>
        </is>
      </c>
    </row>
    <row r="193">
      <c r="A193" s="5" t="inlineStr">
        <is>
          <t>Wiaan Mulder</t>
        </is>
      </c>
      <c r="B193" s="7" t="inlineStr">
        <is>
          <t>All Rounder</t>
        </is>
      </c>
      <c r="C193" s="7" t="inlineStr">
        <is>
          <t>Right</t>
        </is>
      </c>
      <c r="D193" s="5" t="inlineStr">
        <is>
          <t>South Africa</t>
        </is>
      </c>
      <c r="E193" s="5" t="n"/>
      <c r="F193" s="6" t="n">
        <v>1</v>
      </c>
      <c r="G193" s="7" t="inlineStr">
        <is>
          <t>C</t>
        </is>
      </c>
    </row>
    <row r="194">
      <c r="A194" s="8" t="inlineStr">
        <is>
          <t>Kyle Mayers</t>
        </is>
      </c>
      <c r="B194" s="10" t="inlineStr">
        <is>
          <t>All Rounder</t>
        </is>
      </c>
      <c r="C194" s="10" t="inlineStr">
        <is>
          <t>Left</t>
        </is>
      </c>
      <c r="D194" s="8" t="n"/>
      <c r="E194" s="8" t="n"/>
      <c r="F194" s="9" t="n">
        <v>1</v>
      </c>
      <c r="G194" s="10" t="inlineStr">
        <is>
          <t>C</t>
        </is>
      </c>
    </row>
    <row r="195">
      <c r="A195" s="5" t="inlineStr">
        <is>
          <t>Dasun Shanaka</t>
        </is>
      </c>
      <c r="B195" s="7" t="inlineStr">
        <is>
          <t>All Rounder</t>
        </is>
      </c>
      <c r="C195" s="7" t="inlineStr">
        <is>
          <t>Right</t>
        </is>
      </c>
      <c r="D195" s="5" t="inlineStr">
        <is>
          <t>Sri Lanka</t>
        </is>
      </c>
      <c r="E195" s="5" t="n"/>
      <c r="F195" s="6" t="n">
        <v>1</v>
      </c>
      <c r="G195" s="7" t="inlineStr">
        <is>
          <t>C</t>
        </is>
      </c>
    </row>
    <row r="196">
      <c r="A196" s="8" t="inlineStr">
        <is>
          <t>Jason Holder</t>
        </is>
      </c>
      <c r="B196" s="10" t="inlineStr">
        <is>
          <t>All Rounder</t>
        </is>
      </c>
      <c r="C196" s="10" t="inlineStr">
        <is>
          <t>Right</t>
        </is>
      </c>
      <c r="D196" s="8" t="inlineStr">
        <is>
          <t>West Indies</t>
        </is>
      </c>
      <c r="E196" s="8" t="n"/>
      <c r="F196" s="9" t="n">
        <v>1</v>
      </c>
      <c r="G196" s="10" t="inlineStr">
        <is>
          <t>C</t>
        </is>
      </c>
    </row>
    <row r="197">
      <c r="A197" s="5" t="inlineStr">
        <is>
          <t>Jimmy Neesham</t>
        </is>
      </c>
      <c r="B197" s="7" t="inlineStr">
        <is>
          <t>All Rounder</t>
        </is>
      </c>
      <c r="C197" s="7" t="inlineStr">
        <is>
          <t>Left</t>
        </is>
      </c>
      <c r="D197" s="5" t="inlineStr">
        <is>
          <t>New Zealand</t>
        </is>
      </c>
      <c r="E197" s="5" t="n"/>
      <c r="F197" s="6" t="n">
        <v>1</v>
      </c>
      <c r="G197" s="7" t="inlineStr">
        <is>
          <t>C</t>
        </is>
      </c>
    </row>
    <row r="198">
      <c r="A198" s="8" t="inlineStr">
        <is>
          <t>Chris Green</t>
        </is>
      </c>
      <c r="B198" s="10" t="inlineStr">
        <is>
          <t>All Rounder</t>
        </is>
      </c>
      <c r="C198" s="10" t="inlineStr">
        <is>
          <t>Right</t>
        </is>
      </c>
      <c r="D198" s="8" t="n"/>
      <c r="E198" s="8" t="n"/>
      <c r="F198" s="9" t="n">
        <v>1</v>
      </c>
      <c r="G198" s="10" t="inlineStr">
        <is>
          <t>C</t>
        </is>
      </c>
    </row>
    <row r="199">
      <c r="A199" s="5" t="inlineStr">
        <is>
          <t>Nishant Sindhu</t>
        </is>
      </c>
      <c r="B199" s="7" t="inlineStr">
        <is>
          <t>All Rounder</t>
        </is>
      </c>
      <c r="C199" s="7" t="inlineStr">
        <is>
          <t>Left</t>
        </is>
      </c>
      <c r="D199" s="5" t="n"/>
      <c r="E199" s="5" t="n"/>
      <c r="F199" s="6" t="n">
        <v>1</v>
      </c>
      <c r="G199" s="7" t="inlineStr">
        <is>
          <t>C</t>
        </is>
      </c>
    </row>
    <row r="200">
      <c r="A200" s="8" t="inlineStr">
        <is>
          <t>Shams Mulani</t>
        </is>
      </c>
      <c r="B200" s="10" t="inlineStr">
        <is>
          <t>All Rounder</t>
        </is>
      </c>
      <c r="C200" s="10" t="inlineStr">
        <is>
          <t>Left</t>
        </is>
      </c>
      <c r="D200" s="8" t="n"/>
      <c r="E200" s="8" t="n"/>
      <c r="F200" s="9" t="n">
        <v>1</v>
      </c>
      <c r="G200" s="10" t="inlineStr">
        <is>
          <t>C</t>
        </is>
      </c>
    </row>
    <row r="201">
      <c r="A201" s="5" t="inlineStr">
        <is>
          <t>Raj Bawa</t>
        </is>
      </c>
      <c r="B201" s="7" t="inlineStr">
        <is>
          <t>All Rounder</t>
        </is>
      </c>
      <c r="C201" s="7" t="inlineStr">
        <is>
          <t>Left</t>
        </is>
      </c>
      <c r="D201" s="5" t="n"/>
      <c r="E201" s="5" t="n"/>
      <c r="F201" s="6" t="n">
        <v>1</v>
      </c>
      <c r="G201" s="7" t="inlineStr">
        <is>
          <t>C</t>
        </is>
      </c>
    </row>
    <row r="202">
      <c r="A202" s="8" t="inlineStr">
        <is>
          <t>Sanvir Singh</t>
        </is>
      </c>
      <c r="B202" s="10" t="inlineStr">
        <is>
          <t>All Rounder</t>
        </is>
      </c>
      <c r="C202" s="10" t="inlineStr">
        <is>
          <t>Right</t>
        </is>
      </c>
      <c r="D202" s="8" t="n"/>
      <c r="E202" s="8" t="n"/>
      <c r="F202" s="9" t="n">
        <v>1</v>
      </c>
      <c r="G202" s="10" t="inlineStr">
        <is>
          <t>C</t>
        </is>
      </c>
    </row>
    <row r="203">
      <c r="A203" s="5" t="inlineStr">
        <is>
          <t>Manvanth Kumar</t>
        </is>
      </c>
      <c r="B203" s="7" t="inlineStr">
        <is>
          <t>All Rounder</t>
        </is>
      </c>
      <c r="C203" s="7" t="inlineStr">
        <is>
          <t>Right</t>
        </is>
      </c>
      <c r="D203" s="5" t="n"/>
      <c r="E203" s="5" t="n"/>
      <c r="F203" s="6" t="n">
        <v>1</v>
      </c>
      <c r="G203" s="7" t="inlineStr">
        <is>
          <t>C</t>
        </is>
      </c>
    </row>
    <row r="204">
      <c r="A204" s="8" t="inlineStr">
        <is>
          <t>Bipin Saurabh</t>
        </is>
      </c>
      <c r="B204" s="10" t="inlineStr">
        <is>
          <t>All Rounder</t>
        </is>
      </c>
      <c r="C204" s="10" t="inlineStr">
        <is>
          <t>Left</t>
        </is>
      </c>
      <c r="D204" s="8" t="n"/>
      <c r="E204" s="8" t="n"/>
      <c r="F204" s="9" t="n">
        <v>1</v>
      </c>
      <c r="G204" s="10" t="inlineStr">
        <is>
          <t>C</t>
        </is>
      </c>
    </row>
    <row r="205">
      <c r="A205" s="5" t="inlineStr">
        <is>
          <t>Saurabh Kumar</t>
        </is>
      </c>
      <c r="B205" s="7" t="inlineStr">
        <is>
          <t>All Rounder</t>
        </is>
      </c>
      <c r="C205" s="7" t="inlineStr">
        <is>
          <t>Left</t>
        </is>
      </c>
      <c r="D205" s="5" t="n"/>
      <c r="E205" s="5" t="n"/>
      <c r="F205" s="6" t="n">
        <v>1</v>
      </c>
      <c r="G205" s="7" t="inlineStr">
        <is>
          <t>C</t>
        </is>
      </c>
    </row>
    <row r="206">
      <c r="A206" s="8" t="inlineStr">
        <is>
          <t>Harsh Dubey</t>
        </is>
      </c>
      <c r="B206" s="10" t="inlineStr">
        <is>
          <t>All Rounder</t>
        </is>
      </c>
      <c r="C206" s="10" t="inlineStr">
        <is>
          <t>Left</t>
        </is>
      </c>
      <c r="D206" s="8" t="n"/>
      <c r="E206" s="8" t="n"/>
      <c r="F206" s="9" t="n">
        <v>1</v>
      </c>
      <c r="G206" s="10" t="inlineStr">
        <is>
          <t>C</t>
        </is>
      </c>
    </row>
    <row r="207">
      <c r="A207" s="5" t="inlineStr">
        <is>
          <t>Anukul Roy</t>
        </is>
      </c>
      <c r="B207" s="7" t="inlineStr">
        <is>
          <t>All Rounder</t>
        </is>
      </c>
      <c r="C207" s="7" t="inlineStr">
        <is>
          <t>Left</t>
        </is>
      </c>
      <c r="D207" s="5" t="n"/>
      <c r="E207" s="5" t="n"/>
      <c r="F207" s="6" t="n">
        <v>1</v>
      </c>
      <c r="G207" s="7" t="inlineStr">
        <is>
          <t>C</t>
        </is>
      </c>
    </row>
    <row r="208">
      <c r="A208" s="8" t="inlineStr">
        <is>
          <t>Tanush Kotian</t>
        </is>
      </c>
      <c r="B208" s="10" t="inlineStr">
        <is>
          <t>All Rounder</t>
        </is>
      </c>
      <c r="C208" s="10" t="inlineStr">
        <is>
          <t>Right</t>
        </is>
      </c>
      <c r="D208" s="8" t="n"/>
      <c r="E208" s="8" t="n"/>
      <c r="F208" s="9" t="n">
        <v>1</v>
      </c>
      <c r="G208" s="10" t="inlineStr">
        <is>
          <t>C</t>
        </is>
      </c>
    </row>
    <row r="209">
      <c r="A209" s="5" t="inlineStr">
        <is>
          <t>KS Bharat</t>
        </is>
      </c>
      <c r="B209" s="7" t="inlineStr">
        <is>
          <t>Wicketkeeper</t>
        </is>
      </c>
      <c r="C209" s="7" t="inlineStr">
        <is>
          <t>Right</t>
        </is>
      </c>
      <c r="D209" s="5" t="n"/>
      <c r="E209" s="5" t="n"/>
      <c r="F209" s="6" t="n">
        <v>1</v>
      </c>
      <c r="G209" s="7" t="inlineStr">
        <is>
          <t>C</t>
        </is>
      </c>
    </row>
    <row r="210">
      <c r="A210" s="8" t="inlineStr">
        <is>
          <t>Luvnith Sisodia</t>
        </is>
      </c>
      <c r="B210" s="10" t="inlineStr">
        <is>
          <t>Wicketkeeper</t>
        </is>
      </c>
      <c r="C210" s="10" t="inlineStr">
        <is>
          <t>Left</t>
        </is>
      </c>
      <c r="D210" s="8" t="n"/>
      <c r="E210" s="8" t="n"/>
      <c r="F210" s="9" t="n">
        <v>1</v>
      </c>
      <c r="G210" s="10" t="inlineStr">
        <is>
          <t>C</t>
        </is>
      </c>
    </row>
    <row r="211">
      <c r="A211" s="5" t="inlineStr">
        <is>
          <t>Kumar Kushagra</t>
        </is>
      </c>
      <c r="B211" s="7" t="inlineStr">
        <is>
          <t>Wicketkeeper</t>
        </is>
      </c>
      <c r="C211" s="7" t="inlineStr">
        <is>
          <t>Right</t>
        </is>
      </c>
      <c r="D211" s="5" t="n"/>
      <c r="E211" s="5" t="n"/>
      <c r="F211" s="6" t="n">
        <v>1</v>
      </c>
      <c r="G211" s="7" t="inlineStr">
        <is>
          <t>C</t>
        </is>
      </c>
    </row>
    <row r="212">
      <c r="A212" s="8" t="inlineStr">
        <is>
          <t>Urvil Patel</t>
        </is>
      </c>
      <c r="B212" s="10" t="inlineStr">
        <is>
          <t>Wicketkeeper</t>
        </is>
      </c>
      <c r="C212" s="10" t="inlineStr">
        <is>
          <t>Right</t>
        </is>
      </c>
      <c r="D212" s="8" t="n"/>
      <c r="E212" s="8" t="n"/>
      <c r="F212" s="9" t="n">
        <v>1</v>
      </c>
      <c r="G212" s="10" t="inlineStr">
        <is>
          <t>C</t>
        </is>
      </c>
    </row>
    <row r="213">
      <c r="A213" s="5" t="inlineStr">
        <is>
          <t>Joe Root</t>
        </is>
      </c>
      <c r="B213" s="7" t="inlineStr">
        <is>
          <t>Batsman</t>
        </is>
      </c>
      <c r="C213" s="7" t="n"/>
      <c r="D213" s="5" t="inlineStr">
        <is>
          <t>England</t>
        </is>
      </c>
      <c r="E213" s="5" t="n"/>
      <c r="F213" s="6" t="n">
        <v>0.5</v>
      </c>
      <c r="G213" s="7" t="inlineStr">
        <is>
          <t>D</t>
        </is>
      </c>
    </row>
    <row r="214">
      <c r="A214" s="8" t="inlineStr">
        <is>
          <t>Dawid Malan</t>
        </is>
      </c>
      <c r="B214" s="10" t="inlineStr">
        <is>
          <t>Batsman</t>
        </is>
      </c>
      <c r="C214" s="10" t="n"/>
      <c r="D214" s="8" t="inlineStr">
        <is>
          <t>England</t>
        </is>
      </c>
      <c r="E214" s="8" t="n"/>
      <c r="F214" s="9" t="n">
        <v>0.5</v>
      </c>
      <c r="G214" s="10" t="inlineStr">
        <is>
          <t>D</t>
        </is>
      </c>
    </row>
    <row r="215">
      <c r="A215" s="5" t="inlineStr">
        <is>
          <t>Tom Bruce</t>
        </is>
      </c>
      <c r="B215" s="7" t="inlineStr">
        <is>
          <t>Batsman</t>
        </is>
      </c>
      <c r="C215" s="7" t="n"/>
      <c r="D215" s="5" t="inlineStr">
        <is>
          <t>New Zealand</t>
        </is>
      </c>
      <c r="E215" s="5" t="n"/>
      <c r="F215" s="6" t="n">
        <v>0.5</v>
      </c>
      <c r="G215" s="7" t="inlineStr">
        <is>
          <t>D</t>
        </is>
      </c>
    </row>
    <row r="216">
      <c r="A216" s="8" t="inlineStr">
        <is>
          <t>Ben McKinney</t>
        </is>
      </c>
      <c r="B216" s="10" t="inlineStr">
        <is>
          <t>Batsman</t>
        </is>
      </c>
      <c r="C216" s="10" t="n"/>
      <c r="D216" s="8" t="inlineStr">
        <is>
          <t>England</t>
        </is>
      </c>
      <c r="E216" s="8" t="n"/>
      <c r="F216" s="9" t="n">
        <v>0.5</v>
      </c>
      <c r="G216" s="10" t="inlineStr">
        <is>
          <t>D</t>
        </is>
      </c>
    </row>
    <row r="217">
      <c r="A217" s="5" t="inlineStr">
        <is>
          <t>Sam Konstas</t>
        </is>
      </c>
      <c r="B217" s="7" t="inlineStr">
        <is>
          <t>Batsman</t>
        </is>
      </c>
      <c r="C217" s="7" t="n"/>
      <c r="D217" s="5" t="inlineStr">
        <is>
          <t>Australia</t>
        </is>
      </c>
      <c r="E217" s="5" t="n"/>
      <c r="F217" s="6" t="n">
        <v>0.5</v>
      </c>
      <c r="G217" s="7" t="inlineStr">
        <is>
          <t>D</t>
        </is>
      </c>
    </row>
    <row r="218">
      <c r="A218" s="8" t="inlineStr">
        <is>
          <t>Hugh Weibgen</t>
        </is>
      </c>
      <c r="B218" s="10" t="inlineStr">
        <is>
          <t>Batsman</t>
        </is>
      </c>
      <c r="C218" s="10" t="n"/>
      <c r="D218" s="8" t="inlineStr">
        <is>
          <t>Australia</t>
        </is>
      </c>
      <c r="E218" s="8" t="n"/>
      <c r="F218" s="9" t="n">
        <v>0.5</v>
      </c>
      <c r="G218" s="10" t="inlineStr">
        <is>
          <t>D</t>
        </is>
      </c>
    </row>
    <row r="219">
      <c r="A219" s="5" t="inlineStr">
        <is>
          <t>Harry Dixon</t>
        </is>
      </c>
      <c r="B219" s="7" t="inlineStr">
        <is>
          <t>Batsman</t>
        </is>
      </c>
      <c r="C219" s="7" t="n"/>
      <c r="D219" s="5" t="inlineStr">
        <is>
          <t>Australia</t>
        </is>
      </c>
      <c r="E219" s="5" t="n"/>
      <c r="F219" s="6" t="n">
        <v>0.5</v>
      </c>
      <c r="G219" s="7" t="inlineStr">
        <is>
          <t>D</t>
        </is>
      </c>
    </row>
    <row r="220">
      <c r="A220" s="8" t="inlineStr">
        <is>
          <t>Lhuan-dré Pretorius</t>
        </is>
      </c>
      <c r="B220" s="10" t="inlineStr">
        <is>
          <t>Batsman</t>
        </is>
      </c>
      <c r="C220" s="10" t="n"/>
      <c r="D220" s="8" t="inlineStr">
        <is>
          <t>South Africa</t>
        </is>
      </c>
      <c r="E220" s="8" t="n"/>
      <c r="F220" s="9" t="n">
        <v>0.5</v>
      </c>
      <c r="G220" s="10" t="inlineStr">
        <is>
          <t>D</t>
        </is>
      </c>
    </row>
    <row r="221">
      <c r="A221" s="5" t="inlineStr">
        <is>
          <t>Ollie Peake</t>
        </is>
      </c>
      <c r="B221" s="7" t="inlineStr">
        <is>
          <t>Batsman</t>
        </is>
      </c>
      <c r="C221" s="7" t="n"/>
      <c r="D221" s="5" t="inlineStr">
        <is>
          <t>Australia</t>
        </is>
      </c>
      <c r="E221" s="5" t="n"/>
      <c r="F221" s="6" t="n">
        <v>0.5</v>
      </c>
      <c r="G221" s="7" t="inlineStr">
        <is>
          <t>D</t>
        </is>
      </c>
    </row>
    <row r="222">
      <c r="A222" s="8" t="inlineStr">
        <is>
          <t>Hamza Shaikh</t>
        </is>
      </c>
      <c r="B222" s="10" t="inlineStr">
        <is>
          <t>Batsman</t>
        </is>
      </c>
      <c r="C222" s="10" t="n"/>
      <c r="D222" s="8" t="inlineStr">
        <is>
          <t>England</t>
        </is>
      </c>
      <c r="E222" s="8" t="n"/>
      <c r="F222" s="9" t="n">
        <v>0.5</v>
      </c>
      <c r="G222" s="10" t="inlineStr">
        <is>
          <t>D</t>
        </is>
      </c>
    </row>
    <row r="223">
      <c r="A223" s="5" t="inlineStr">
        <is>
          <t>Shaheen Shah Afridi</t>
        </is>
      </c>
      <c r="B223" s="7" t="inlineStr">
        <is>
          <t>Bowler</t>
        </is>
      </c>
      <c r="C223" s="7" t="n"/>
      <c r="D223" s="5" t="inlineStr">
        <is>
          <t>Pakistan</t>
        </is>
      </c>
      <c r="E223" s="5" t="n"/>
      <c r="F223" s="6" t="n">
        <v>0.5</v>
      </c>
      <c r="G223" s="7" t="inlineStr">
        <is>
          <t>D</t>
        </is>
      </c>
    </row>
    <row r="224">
      <c r="A224" s="8" t="inlineStr">
        <is>
          <t>Haris Rauf</t>
        </is>
      </c>
      <c r="B224" s="10" t="inlineStr">
        <is>
          <t>Bowler</t>
        </is>
      </c>
      <c r="C224" s="10" t="n"/>
      <c r="D224" s="8" t="inlineStr">
        <is>
          <t>Pakistan</t>
        </is>
      </c>
      <c r="E224" s="8" t="n"/>
      <c r="F224" s="9" t="n">
        <v>0.5</v>
      </c>
      <c r="G224" s="10" t="inlineStr">
        <is>
          <t>D</t>
        </is>
      </c>
    </row>
    <row r="225">
      <c r="A225" s="5" t="inlineStr">
        <is>
          <t>Naseem Shah</t>
        </is>
      </c>
      <c r="B225" s="7" t="inlineStr">
        <is>
          <t>Bowler</t>
        </is>
      </c>
      <c r="C225" s="7" t="n"/>
      <c r="D225" s="5" t="inlineStr">
        <is>
          <t>Pakistan</t>
        </is>
      </c>
      <c r="E225" s="5" t="n"/>
      <c r="F225" s="6" t="n">
        <v>0.5</v>
      </c>
      <c r="G225" s="7" t="inlineStr">
        <is>
          <t>D</t>
        </is>
      </c>
    </row>
    <row r="226">
      <c r="A226" s="8" t="inlineStr">
        <is>
          <t>Hasan Ali</t>
        </is>
      </c>
      <c r="B226" s="10" t="inlineStr">
        <is>
          <t>Bowler</t>
        </is>
      </c>
      <c r="C226" s="10" t="n"/>
      <c r="D226" s="8" t="inlineStr">
        <is>
          <t>Pakistan</t>
        </is>
      </c>
      <c r="E226" s="8" t="n"/>
      <c r="F226" s="9" t="n">
        <v>0.5</v>
      </c>
      <c r="G226" s="10" t="inlineStr">
        <is>
          <t>D</t>
        </is>
      </c>
    </row>
    <row r="227">
      <c r="A227" s="5" t="inlineStr">
        <is>
          <t>Mohammad Wasim Jr.</t>
        </is>
      </c>
      <c r="B227" s="7" t="inlineStr">
        <is>
          <t>Bowler</t>
        </is>
      </c>
      <c r="C227" s="7" t="n"/>
      <c r="D227" s="5" t="inlineStr">
        <is>
          <t>Pakistan</t>
        </is>
      </c>
      <c r="E227" s="5" t="n"/>
      <c r="F227" s="6" t="n">
        <v>0.5</v>
      </c>
      <c r="G227" s="7" t="inlineStr">
        <is>
          <t>D</t>
        </is>
      </c>
    </row>
    <row r="228">
      <c r="A228" s="8" t="inlineStr">
        <is>
          <t>Abrar Ahmed</t>
        </is>
      </c>
      <c r="B228" s="10" t="inlineStr">
        <is>
          <t>Bowler</t>
        </is>
      </c>
      <c r="C228" s="10" t="n"/>
      <c r="D228" s="8" t="inlineStr">
        <is>
          <t>Pakistan</t>
        </is>
      </c>
      <c r="E228" s="8" t="n"/>
      <c r="F228" s="9" t="n">
        <v>0.5</v>
      </c>
      <c r="G228" s="10" t="inlineStr">
        <is>
          <t>D</t>
        </is>
      </c>
    </row>
    <row r="229">
      <c r="A229" s="5" t="inlineStr">
        <is>
          <t>Usama Mir</t>
        </is>
      </c>
      <c r="B229" s="7" t="inlineStr">
        <is>
          <t>Bowler</t>
        </is>
      </c>
      <c r="C229" s="7" t="n"/>
      <c r="D229" s="5" t="inlineStr">
        <is>
          <t>Pakistan</t>
        </is>
      </c>
      <c r="E229" s="5" t="n"/>
      <c r="F229" s="6" t="n">
        <v>0.5</v>
      </c>
      <c r="G229" s="7" t="inlineStr">
        <is>
          <t>D</t>
        </is>
      </c>
    </row>
    <row r="230">
      <c r="A230" s="8" t="inlineStr">
        <is>
          <t>Keshav Maharaj</t>
        </is>
      </c>
      <c r="B230" s="10" t="inlineStr">
        <is>
          <t>Bowler</t>
        </is>
      </c>
      <c r="C230" s="10" t="n"/>
      <c r="D230" s="8" t="inlineStr">
        <is>
          <t>South Africa</t>
        </is>
      </c>
      <c r="E230" s="8" t="n"/>
      <c r="F230" s="9" t="n">
        <v>0.5</v>
      </c>
      <c r="G230" s="10" t="inlineStr">
        <is>
          <t>D</t>
        </is>
      </c>
    </row>
    <row r="231">
      <c r="A231" s="5" t="inlineStr">
        <is>
          <t>Matthew Potts</t>
        </is>
      </c>
      <c r="B231" s="7" t="inlineStr">
        <is>
          <t>Bowler</t>
        </is>
      </c>
      <c r="C231" s="7" t="n"/>
      <c r="D231" s="5" t="inlineStr">
        <is>
          <t>England</t>
        </is>
      </c>
      <c r="E231" s="5" t="n"/>
      <c r="F231" s="6" t="n">
        <v>0.5</v>
      </c>
      <c r="G231" s="7" t="inlineStr">
        <is>
          <t>D</t>
        </is>
      </c>
    </row>
    <row r="232">
      <c r="A232" s="8" t="inlineStr">
        <is>
          <t>George Scrimshaw</t>
        </is>
      </c>
      <c r="B232" s="10" t="inlineStr">
        <is>
          <t>Bowler</t>
        </is>
      </c>
      <c r="C232" s="10" t="n"/>
      <c r="D232" s="8" t="inlineStr">
        <is>
          <t>England</t>
        </is>
      </c>
      <c r="E232" s="8" t="n"/>
      <c r="F232" s="9" t="n">
        <v>0.5</v>
      </c>
      <c r="G232" s="10" t="inlineStr">
        <is>
          <t>D</t>
        </is>
      </c>
    </row>
    <row r="233">
      <c r="A233" s="5" t="inlineStr">
        <is>
          <t>Tom Latham</t>
        </is>
      </c>
      <c r="B233" s="7" t="inlineStr">
        <is>
          <t>Wicketkeeper</t>
        </is>
      </c>
      <c r="C233" s="7" t="n"/>
      <c r="D233" s="5" t="inlineStr">
        <is>
          <t>New Zealand</t>
        </is>
      </c>
      <c r="E233" s="5" t="n"/>
      <c r="F233" s="6" t="n">
        <v>0.5</v>
      </c>
      <c r="G233" s="7" t="inlineStr">
        <is>
          <t>D</t>
        </is>
      </c>
    </row>
    <row r="234">
      <c r="A234" s="8" t="inlineStr">
        <is>
          <t>Tim Seifert</t>
        </is>
      </c>
      <c r="B234" s="10" t="inlineStr">
        <is>
          <t>Wicketkeeper</t>
        </is>
      </c>
      <c r="C234" s="10" t="n"/>
      <c r="D234" s="8" t="inlineStr">
        <is>
          <t>New Zealand</t>
        </is>
      </c>
      <c r="E234" s="8" t="n"/>
      <c r="F234" s="9" t="n">
        <v>0.5</v>
      </c>
      <c r="G234" s="10" t="inlineStr">
        <is>
          <t>D</t>
        </is>
      </c>
    </row>
    <row r="235">
      <c r="A235" s="5" t="inlineStr">
        <is>
          <t>Amit Shukla</t>
        </is>
      </c>
      <c r="B235" s="7" t="inlineStr">
        <is>
          <t>All Rounder</t>
        </is>
      </c>
      <c r="C235" s="7" t="n"/>
      <c r="D235" s="5" t="inlineStr">
        <is>
          <t>India</t>
        </is>
      </c>
      <c r="E235" s="5" t="inlineStr">
        <is>
          <t>Services</t>
        </is>
      </c>
      <c r="F235" s="6" t="n">
        <v>0.5</v>
      </c>
      <c r="G235" s="7" t="inlineStr">
        <is>
          <t>D</t>
        </is>
      </c>
    </row>
    <row r="236">
      <c r="A236" s="8" t="inlineStr">
        <is>
          <t>Devang Karamta</t>
        </is>
      </c>
      <c r="B236" s="10" t="inlineStr">
        <is>
          <t>Bowler</t>
        </is>
      </c>
      <c r="C236" s="10" t="n"/>
      <c r="D236" s="8" t="inlineStr">
        <is>
          <t>India</t>
        </is>
      </c>
      <c r="E236" s="8" t="inlineStr">
        <is>
          <t>Gujarat</t>
        </is>
      </c>
      <c r="F236" s="9" t="n">
        <v>0.5</v>
      </c>
      <c r="G236" s="10" t="inlineStr">
        <is>
          <t>D</t>
        </is>
      </c>
    </row>
    <row r="237">
      <c r="A237" s="5" t="inlineStr">
        <is>
          <t>Yuvraj Singh Dodiya</t>
        </is>
      </c>
      <c r="B237" s="7" t="inlineStr">
        <is>
          <t>All Rounder</t>
        </is>
      </c>
      <c r="C237" s="7" t="n"/>
      <c r="D237" s="5" t="inlineStr">
        <is>
          <t>India</t>
        </is>
      </c>
      <c r="E237" s="5" t="inlineStr">
        <is>
          <t>Saurashtra</t>
        </is>
      </c>
      <c r="F237" s="6" t="n">
        <v>0.5</v>
      </c>
      <c r="G237" s="7" t="inlineStr">
        <is>
          <t>D</t>
        </is>
      </c>
    </row>
    <row r="238">
      <c r="A238" s="8" t="inlineStr">
        <is>
          <t>Parth Rekhade</t>
        </is>
      </c>
      <c r="B238" s="10" t="inlineStr">
        <is>
          <t>All Rounder</t>
        </is>
      </c>
      <c r="C238" s="10" t="n"/>
      <c r="D238" s="8" t="inlineStr">
        <is>
          <t>India</t>
        </is>
      </c>
      <c r="E238" s="8" t="inlineStr">
        <is>
          <t>Vidarbha</t>
        </is>
      </c>
      <c r="F238" s="9" t="n">
        <v>0.5</v>
      </c>
      <c r="G238" s="10" t="inlineStr">
        <is>
          <t>D</t>
        </is>
      </c>
    </row>
    <row r="239">
      <c r="A239" s="5" t="inlineStr">
        <is>
          <t>Siddharth Desai</t>
        </is>
      </c>
      <c r="B239" s="7" t="inlineStr">
        <is>
          <t>Bowler</t>
        </is>
      </c>
      <c r="C239" s="7" t="n"/>
      <c r="D239" s="5" t="inlineStr">
        <is>
          <t>India</t>
        </is>
      </c>
      <c r="E239" s="5" t="inlineStr">
        <is>
          <t>Gujarat</t>
        </is>
      </c>
      <c r="F239" s="6" t="n">
        <v>0.5</v>
      </c>
      <c r="G239" s="7" t="inlineStr">
        <is>
          <t>D</t>
        </is>
      </c>
    </row>
    <row r="240">
      <c r="A240" s="8" t="inlineStr">
        <is>
          <t>Dharmendrasinh Jadeja</t>
        </is>
      </c>
      <c r="B240" s="10" t="inlineStr">
        <is>
          <t>Bowler</t>
        </is>
      </c>
      <c r="C240" s="10" t="n"/>
      <c r="D240" s="8" t="inlineStr">
        <is>
          <t>India</t>
        </is>
      </c>
      <c r="E240" s="8" t="inlineStr">
        <is>
          <t>Saurashtra</t>
        </is>
      </c>
      <c r="F240" s="9" t="n">
        <v>0.5</v>
      </c>
      <c r="G240" s="10" t="inlineStr">
        <is>
          <t>D</t>
        </is>
      </c>
    </row>
    <row r="241">
      <c r="A241" s="5" t="inlineStr">
        <is>
          <t>Karan Patel</t>
        </is>
      </c>
      <c r="B241" s="7" t="inlineStr">
        <is>
          <t>All Rounder</t>
        </is>
      </c>
      <c r="C241" s="7" t="n"/>
      <c r="D241" s="5" t="inlineStr">
        <is>
          <t>India</t>
        </is>
      </c>
      <c r="E241" s="5" t="inlineStr">
        <is>
          <t>Gujarat</t>
        </is>
      </c>
      <c r="F241" s="6" t="n">
        <v>0.5</v>
      </c>
      <c r="G241" s="7" t="inlineStr">
        <is>
          <t>D</t>
        </is>
      </c>
    </row>
    <row r="242">
      <c r="A242" s="8" t="inlineStr">
        <is>
          <t>Jaymeet Patel</t>
        </is>
      </c>
      <c r="B242" s="10" t="inlineStr">
        <is>
          <t>Batsman</t>
        </is>
      </c>
      <c r="C242" s="10" t="n"/>
      <c r="D242" s="8" t="inlineStr">
        <is>
          <t>India</t>
        </is>
      </c>
      <c r="E242" s="8" t="inlineStr">
        <is>
          <t>Gujarat</t>
        </is>
      </c>
      <c r="F242" s="9" t="n">
        <v>0.5</v>
      </c>
      <c r="G242" s="10" t="inlineStr">
        <is>
          <t>D</t>
        </is>
      </c>
    </row>
    <row r="243">
      <c r="A243" s="5" t="inlineStr">
        <is>
          <t>Het Patel</t>
        </is>
      </c>
      <c r="B243" s="7" t="inlineStr">
        <is>
          <t>Batsman</t>
        </is>
      </c>
      <c r="C243" s="7" t="n"/>
      <c r="D243" s="5" t="inlineStr">
        <is>
          <t>India</t>
        </is>
      </c>
      <c r="E243" s="5" t="inlineStr">
        <is>
          <t>Gujarat</t>
        </is>
      </c>
      <c r="F243" s="6" t="n">
        <v>0.5</v>
      </c>
      <c r="G243" s="7" t="inlineStr">
        <is>
          <t>D</t>
        </is>
      </c>
    </row>
    <row r="244">
      <c r="A244" s="8" t="inlineStr">
        <is>
          <t>Urvil Panchal</t>
        </is>
      </c>
      <c r="B244" s="10" t="inlineStr">
        <is>
          <t>Batsman</t>
        </is>
      </c>
      <c r="C244" s="10" t="n"/>
      <c r="D244" s="8" t="inlineStr">
        <is>
          <t>India</t>
        </is>
      </c>
      <c r="E244" s="8" t="inlineStr">
        <is>
          <t>Gujarat</t>
        </is>
      </c>
      <c r="F244" s="9" t="n">
        <v>0.5</v>
      </c>
      <c r="G244" s="10" t="inlineStr">
        <is>
          <t>D</t>
        </is>
      </c>
    </row>
    <row r="245">
      <c r="A245" s="5" t="inlineStr">
        <is>
          <t>Akshit Goel</t>
        </is>
      </c>
      <c r="B245" s="7" t="inlineStr">
        <is>
          <t>Batsman</t>
        </is>
      </c>
      <c r="C245" s="7" t="n"/>
      <c r="D245" s="5" t="inlineStr">
        <is>
          <t>India</t>
        </is>
      </c>
      <c r="E245" s="5" t="inlineStr">
        <is>
          <t>Haryana</t>
        </is>
      </c>
      <c r="F245" s="6" t="n">
        <v>0.5</v>
      </c>
      <c r="G245" s="7" t="inlineStr">
        <is>
          <t>D</t>
        </is>
      </c>
    </row>
    <row r="246">
      <c r="A246" s="8" t="inlineStr">
        <is>
          <t>Nishchal Dahiya</t>
        </is>
      </c>
      <c r="B246" s="10" t="inlineStr">
        <is>
          <t>Batsman</t>
        </is>
      </c>
      <c r="C246" s="10" t="n"/>
      <c r="D246" s="8" t="inlineStr">
        <is>
          <t>India</t>
        </is>
      </c>
      <c r="E246" s="8" t="inlineStr">
        <is>
          <t>Haryana</t>
        </is>
      </c>
      <c r="F246" s="9" t="n">
        <v>0.5</v>
      </c>
      <c r="G246" s="10" t="inlineStr">
        <is>
          <t>D</t>
        </is>
      </c>
    </row>
    <row r="247">
      <c r="A247" s="5" t="inlineStr">
        <is>
          <t>Dinesh Bana</t>
        </is>
      </c>
      <c r="B247" s="7" t="inlineStr">
        <is>
          <t>Wicketkeeper</t>
        </is>
      </c>
      <c r="C247" s="7" t="n"/>
      <c r="D247" s="5" t="inlineStr">
        <is>
          <t>India</t>
        </is>
      </c>
      <c r="E247" s="5" t="inlineStr">
        <is>
          <t>Haryana</t>
        </is>
      </c>
      <c r="F247" s="6" t="n">
        <v>0.5</v>
      </c>
      <c r="G247" s="7" t="inlineStr">
        <is>
          <t>D</t>
        </is>
      </c>
    </row>
    <row r="248">
      <c r="A248" s="8" t="inlineStr">
        <is>
          <t>Ankit Kumar</t>
        </is>
      </c>
      <c r="B248" s="10" t="inlineStr">
        <is>
          <t>Batsman</t>
        </is>
      </c>
      <c r="C248" s="10" t="n"/>
      <c r="D248" s="8" t="inlineStr">
        <is>
          <t>India</t>
        </is>
      </c>
      <c r="E248" s="8" t="inlineStr">
        <is>
          <t>Haryana</t>
        </is>
      </c>
      <c r="F248" s="9" t="n">
        <v>0.5</v>
      </c>
      <c r="G248" s="10" t="inlineStr">
        <is>
          <t>D</t>
        </is>
      </c>
    </row>
    <row r="249">
      <c r="A249" s="5" t="inlineStr">
        <is>
          <t>Kunal Singh</t>
        </is>
      </c>
      <c r="B249" s="7" t="inlineStr">
        <is>
          <t>Batsman</t>
        </is>
      </c>
      <c r="C249" s="7" t="n"/>
      <c r="D249" s="5" t="inlineStr">
        <is>
          <t>India</t>
        </is>
      </c>
      <c r="E249" s="5" t="inlineStr">
        <is>
          <t>Chandigarh</t>
        </is>
      </c>
      <c r="F249" s="6" t="n">
        <v>0.5</v>
      </c>
      <c r="G249" s="7" t="inlineStr">
        <is>
          <t>D</t>
        </is>
      </c>
    </row>
    <row r="250">
      <c r="A250" s="8" t="inlineStr">
        <is>
          <t>Arslan Khan</t>
        </is>
      </c>
      <c r="B250" s="10" t="inlineStr">
        <is>
          <t>Batsman</t>
        </is>
      </c>
      <c r="C250" s="10" t="n"/>
      <c r="D250" s="8" t="inlineStr">
        <is>
          <t>India</t>
        </is>
      </c>
      <c r="E250" s="8" t="inlineStr">
        <is>
          <t>Chandigarh</t>
        </is>
      </c>
      <c r="F250" s="9" t="n">
        <v>0.5</v>
      </c>
      <c r="G250" s="10" t="inlineStr">
        <is>
          <t>D</t>
        </is>
      </c>
    </row>
    <row r="251">
      <c r="A251" s="5" t="inlineStr">
        <is>
          <t>Paras Dogra</t>
        </is>
      </c>
      <c r="B251" s="7" t="inlineStr">
        <is>
          <t>Batsman</t>
        </is>
      </c>
      <c r="C251" s="7" t="n"/>
      <c r="D251" s="5" t="inlineStr">
        <is>
          <t>India</t>
        </is>
      </c>
      <c r="E251" s="5" t="inlineStr">
        <is>
          <t>Puducherry</t>
        </is>
      </c>
      <c r="F251" s="6" t="n">
        <v>0.5</v>
      </c>
      <c r="G251" s="7" t="inlineStr">
        <is>
          <t>D</t>
        </is>
      </c>
    </row>
    <row r="252">
      <c r="A252" s="8" t="inlineStr">
        <is>
          <t>Arun Karthik</t>
        </is>
      </c>
      <c r="B252" s="10" t="inlineStr">
        <is>
          <t>Batsman</t>
        </is>
      </c>
      <c r="C252" s="10" t="n"/>
      <c r="D252" s="8" t="inlineStr">
        <is>
          <t>India</t>
        </is>
      </c>
      <c r="E252" s="8" t="inlineStr">
        <is>
          <t>Tamil Nadu</t>
        </is>
      </c>
      <c r="F252" s="9" t="n">
        <v>0.5</v>
      </c>
      <c r="G252" s="10" t="inlineStr">
        <is>
          <t>D</t>
        </is>
      </c>
    </row>
    <row r="253">
      <c r="A253" s="5" t="inlineStr">
        <is>
          <t>Baba Aparajith</t>
        </is>
      </c>
      <c r="B253" s="7" t="inlineStr">
        <is>
          <t>All Rounder</t>
        </is>
      </c>
      <c r="C253" s="7" t="n"/>
      <c r="D253" s="5" t="inlineStr">
        <is>
          <t>India</t>
        </is>
      </c>
      <c r="E253" s="5" t="inlineStr">
        <is>
          <t>Tamil Nadu</t>
        </is>
      </c>
      <c r="F253" s="6" t="n">
        <v>0.5</v>
      </c>
      <c r="G253" s="7" t="inlineStr">
        <is>
          <t>D</t>
        </is>
      </c>
    </row>
    <row r="254">
      <c r="A254" s="8" t="inlineStr">
        <is>
          <t>Baba Indrajith</t>
        </is>
      </c>
      <c r="B254" s="10" t="inlineStr">
        <is>
          <t>Batsman</t>
        </is>
      </c>
      <c r="C254" s="10" t="n"/>
      <c r="D254" s="8" t="inlineStr">
        <is>
          <t>India</t>
        </is>
      </c>
      <c r="E254" s="8" t="inlineStr">
        <is>
          <t>Tamil Nadu</t>
        </is>
      </c>
      <c r="F254" s="9" t="n">
        <v>0.5</v>
      </c>
      <c r="G254" s="10" t="inlineStr">
        <is>
          <t>D</t>
        </is>
      </c>
    </row>
    <row r="255">
      <c r="A255" s="5" t="inlineStr">
        <is>
          <t>C. Andre Siddarth</t>
        </is>
      </c>
      <c r="B255" s="7" t="inlineStr">
        <is>
          <t>Batsman</t>
        </is>
      </c>
      <c r="C255" s="7" t="n"/>
      <c r="D255" s="5" t="inlineStr">
        <is>
          <t>India</t>
        </is>
      </c>
      <c r="E255" s="5" t="inlineStr">
        <is>
          <t>Tamil Nadu</t>
        </is>
      </c>
      <c r="F255" s="6" t="n">
        <v>0.5</v>
      </c>
      <c r="G255" s="7" t="inlineStr">
        <is>
          <t>D</t>
        </is>
      </c>
    </row>
    <row r="256">
      <c r="A256" s="8" t="inlineStr">
        <is>
          <t>Pradosh Ranjan Paul</t>
        </is>
      </c>
      <c r="B256" s="10" t="inlineStr">
        <is>
          <t>Batsman</t>
        </is>
      </c>
      <c r="C256" s="10" t="n"/>
      <c r="D256" s="8" t="inlineStr">
        <is>
          <t>India</t>
        </is>
      </c>
      <c r="E256" s="8" t="inlineStr">
        <is>
          <t>Tamil Nadu</t>
        </is>
      </c>
      <c r="F256" s="9" t="n">
        <v>0.5</v>
      </c>
      <c r="G256" s="10" t="inlineStr">
        <is>
          <t>D</t>
        </is>
      </c>
    </row>
    <row r="257">
      <c r="A257" s="5" t="inlineStr">
        <is>
          <t>K. Easwaran</t>
        </is>
      </c>
      <c r="B257" s="7" t="inlineStr">
        <is>
          <t>Batsman</t>
        </is>
      </c>
      <c r="C257" s="7" t="n"/>
      <c r="D257" s="5" t="inlineStr">
        <is>
          <t>India</t>
        </is>
      </c>
      <c r="E257" s="5" t="inlineStr">
        <is>
          <t>Tamil Nadu</t>
        </is>
      </c>
      <c r="F257" s="6" t="n">
        <v>0.5</v>
      </c>
      <c r="G257" s="7" t="inlineStr">
        <is>
          <t>D</t>
        </is>
      </c>
    </row>
    <row r="258">
      <c r="A258" s="8" t="inlineStr">
        <is>
          <t>Nidhish Rajagopal</t>
        </is>
      </c>
      <c r="B258" s="10" t="inlineStr">
        <is>
          <t>Batsman</t>
        </is>
      </c>
      <c r="C258" s="10" t="n"/>
      <c r="D258" s="8" t="inlineStr">
        <is>
          <t>India</t>
        </is>
      </c>
      <c r="E258" s="8" t="inlineStr">
        <is>
          <t>Tamil Nadu</t>
        </is>
      </c>
      <c r="F258" s="9" t="n">
        <v>0.5</v>
      </c>
      <c r="G258" s="10" t="inlineStr">
        <is>
          <t>D</t>
        </is>
      </c>
    </row>
    <row r="259">
      <c r="A259" s="5" t="inlineStr">
        <is>
          <t>R. Sonu Yadav</t>
        </is>
      </c>
      <c r="B259" s="7" t="inlineStr">
        <is>
          <t>All Rounder</t>
        </is>
      </c>
      <c r="C259" s="7" t="n"/>
      <c r="D259" s="5" t="inlineStr">
        <is>
          <t>India</t>
        </is>
      </c>
      <c r="E259" s="5" t="inlineStr">
        <is>
          <t>Tamil Nadu</t>
        </is>
      </c>
      <c r="F259" s="6" t="n">
        <v>0.5</v>
      </c>
      <c r="G259" s="7" t="inlineStr">
        <is>
          <t>D</t>
        </is>
      </c>
    </row>
    <row r="260">
      <c r="A260" s="8" t="inlineStr">
        <is>
          <t>Sachin Baby</t>
        </is>
      </c>
      <c r="B260" s="10" t="inlineStr">
        <is>
          <t>Batsman</t>
        </is>
      </c>
      <c r="C260" s="10" t="n"/>
      <c r="D260" s="8" t="inlineStr">
        <is>
          <t>India</t>
        </is>
      </c>
      <c r="E260" s="8" t="inlineStr">
        <is>
          <t>Kerala</t>
        </is>
      </c>
      <c r="F260" s="9" t="n">
        <v>0.5</v>
      </c>
      <c r="G260" s="10" t="inlineStr">
        <is>
          <t>D</t>
        </is>
      </c>
    </row>
    <row r="261">
      <c r="A261" s="5" t="inlineStr">
        <is>
          <t>Akshay Chandran</t>
        </is>
      </c>
      <c r="B261" s="7" t="inlineStr">
        <is>
          <t>All Rounder</t>
        </is>
      </c>
      <c r="C261" s="7" t="n"/>
      <c r="D261" s="5" t="inlineStr">
        <is>
          <t>India</t>
        </is>
      </c>
      <c r="E261" s="5" t="inlineStr">
        <is>
          <t>Kerala</t>
        </is>
      </c>
      <c r="F261" s="6" t="n">
        <v>0.5</v>
      </c>
      <c r="G261" s="7" t="inlineStr">
        <is>
          <t>D</t>
        </is>
      </c>
    </row>
    <row r="262">
      <c r="A262" s="8" t="inlineStr">
        <is>
          <t>Jalaj Saxena</t>
        </is>
      </c>
      <c r="B262" s="10" t="inlineStr">
        <is>
          <t>All Rounder</t>
        </is>
      </c>
      <c r="C262" s="10" t="n"/>
      <c r="D262" s="8" t="inlineStr">
        <is>
          <t>India</t>
        </is>
      </c>
      <c r="E262" s="8" t="inlineStr">
        <is>
          <t>Kerala</t>
        </is>
      </c>
      <c r="F262" s="9" t="n">
        <v>0.5</v>
      </c>
      <c r="G262" s="10" t="inlineStr">
        <is>
          <t>D</t>
        </is>
      </c>
    </row>
    <row r="263">
      <c r="A263" s="5" t="inlineStr">
        <is>
          <t>Krishna Prasad</t>
        </is>
      </c>
      <c r="B263" s="7" t="inlineStr">
        <is>
          <t>Batsman</t>
        </is>
      </c>
      <c r="C263" s="7" t="n"/>
      <c r="D263" s="5" t="inlineStr">
        <is>
          <t>India</t>
        </is>
      </c>
      <c r="E263" s="5" t="inlineStr">
        <is>
          <t>Kerala</t>
        </is>
      </c>
      <c r="F263" s="6" t="n">
        <v>0.5</v>
      </c>
      <c r="G263" s="7" t="inlineStr">
        <is>
          <t>D</t>
        </is>
      </c>
    </row>
    <row r="264">
      <c r="A264" s="8" t="inlineStr">
        <is>
          <t>Akhil Scaria</t>
        </is>
      </c>
      <c r="B264" s="10" t="inlineStr">
        <is>
          <t>All Rounder</t>
        </is>
      </c>
      <c r="C264" s="10" t="n"/>
      <c r="D264" s="8" t="inlineStr">
        <is>
          <t>India</t>
        </is>
      </c>
      <c r="E264" s="8" t="inlineStr">
        <is>
          <t>Kerala</t>
        </is>
      </c>
      <c r="F264" s="9" t="n">
        <v>0.5</v>
      </c>
      <c r="G264" s="10" t="inlineStr">
        <is>
          <t>D</t>
        </is>
      </c>
    </row>
    <row r="265">
      <c r="A265" s="5" t="inlineStr">
        <is>
          <t>Devdhar Kalal</t>
        </is>
      </c>
      <c r="B265" s="7" t="inlineStr">
        <is>
          <t>Batsman</t>
        </is>
      </c>
      <c r="C265" s="7" t="n"/>
      <c r="D265" s="5" t="inlineStr">
        <is>
          <t>India</t>
        </is>
      </c>
      <c r="E265" s="5" t="inlineStr">
        <is>
          <t>Goa</t>
        </is>
      </c>
      <c r="F265" s="6" t="n">
        <v>0.5</v>
      </c>
      <c r="G265" s="7" t="inlineStr">
        <is>
          <t>D</t>
        </is>
      </c>
    </row>
    <row r="266">
      <c r="A266" s="8" t="inlineStr">
        <is>
          <t>Snehal Kauthankar</t>
        </is>
      </c>
      <c r="B266" s="10" t="inlineStr">
        <is>
          <t>Batsman</t>
        </is>
      </c>
      <c r="C266" s="10" t="n"/>
      <c r="D266" s="8" t="inlineStr">
        <is>
          <t>India</t>
        </is>
      </c>
      <c r="E266" s="8" t="inlineStr">
        <is>
          <t>Goa</t>
        </is>
      </c>
      <c r="F266" s="9" t="n">
        <v>0.5</v>
      </c>
      <c r="G266" s="10" t="inlineStr">
        <is>
          <t>D</t>
        </is>
      </c>
    </row>
    <row r="267">
      <c r="A267" s="5" t="inlineStr">
        <is>
          <t>Darshan Misal</t>
        </is>
      </c>
      <c r="B267" s="7" t="inlineStr">
        <is>
          <t>All Rounder</t>
        </is>
      </c>
      <c r="C267" s="7" t="n"/>
      <c r="D267" s="5" t="inlineStr">
        <is>
          <t>India</t>
        </is>
      </c>
      <c r="E267" s="5" t="inlineStr">
        <is>
          <t>Goa</t>
        </is>
      </c>
      <c r="F267" s="6" t="n">
        <v>0.5</v>
      </c>
      <c r="G267" s="7" t="inlineStr">
        <is>
          <t>D</t>
        </is>
      </c>
    </row>
    <row r="268">
      <c r="A268" s="8" t="inlineStr">
        <is>
          <t>Sumit Kumar</t>
        </is>
      </c>
      <c r="B268" s="10" t="inlineStr">
        <is>
          <t>All Rounder</t>
        </is>
      </c>
      <c r="C268" s="10" t="n"/>
      <c r="D268" s="8" t="inlineStr">
        <is>
          <t>India</t>
        </is>
      </c>
      <c r="E268" s="8" t="inlineStr">
        <is>
          <t>Haryana</t>
        </is>
      </c>
      <c r="F268" s="9" t="n">
        <v>0.5</v>
      </c>
      <c r="G268" s="10" t="inlineStr">
        <is>
          <t>D</t>
        </is>
      </c>
    </row>
    <row r="269">
      <c r="A269" s="5" t="inlineStr">
        <is>
          <t>Mayank Dagar</t>
        </is>
      </c>
      <c r="B269" s="7" t="inlineStr">
        <is>
          <t>All Rounder</t>
        </is>
      </c>
      <c r="C269" s="7" t="n"/>
      <c r="D269" s="5" t="inlineStr">
        <is>
          <t>India</t>
        </is>
      </c>
      <c r="E269" s="5" t="inlineStr">
        <is>
          <t>Himachal Pradesh</t>
        </is>
      </c>
      <c r="F269" s="6" t="n">
        <v>0.5</v>
      </c>
      <c r="G269" s="7" t="inlineStr">
        <is>
          <t>D</t>
        </is>
      </c>
    </row>
    <row r="270">
      <c r="A270" s="8" t="inlineStr">
        <is>
          <t>Nikhil Gangta</t>
        </is>
      </c>
      <c r="B270" s="10" t="inlineStr">
        <is>
          <t>Batsman</t>
        </is>
      </c>
      <c r="C270" s="10" t="n"/>
      <c r="D270" s="8" t="inlineStr">
        <is>
          <t>India</t>
        </is>
      </c>
      <c r="E270" s="8" t="inlineStr">
        <is>
          <t>Himachal Pradesh</t>
        </is>
      </c>
      <c r="F270" s="9" t="n">
        <v>0.5</v>
      </c>
      <c r="G270" s="10" t="inlineStr">
        <is>
          <t>D</t>
        </is>
      </c>
    </row>
    <row r="271">
      <c r="A271" s="5" t="inlineStr">
        <is>
          <t>Ekant Sen</t>
        </is>
      </c>
      <c r="B271" s="7" t="inlineStr">
        <is>
          <t>Batsman</t>
        </is>
      </c>
      <c r="C271" s="7" t="n"/>
      <c r="D271" s="5" t="inlineStr">
        <is>
          <t>India</t>
        </is>
      </c>
      <c r="E271" s="5" t="inlineStr">
        <is>
          <t>Madhya Pradesh</t>
        </is>
      </c>
      <c r="F271" s="6" t="n">
        <v>0.5</v>
      </c>
      <c r="G271" s="7" t="inlineStr">
        <is>
          <t>D</t>
        </is>
      </c>
    </row>
    <row r="272">
      <c r="A272" s="8" t="inlineStr">
        <is>
          <t>Shubhranshu Senapati</t>
        </is>
      </c>
      <c r="B272" s="10" t="inlineStr">
        <is>
          <t>Batsman</t>
        </is>
      </c>
      <c r="C272" s="10" t="n"/>
      <c r="D272" s="8" t="inlineStr">
        <is>
          <t>India</t>
        </is>
      </c>
      <c r="E272" s="8" t="inlineStr">
        <is>
          <t>Odisha</t>
        </is>
      </c>
      <c r="F272" s="9" t="n">
        <v>0.5</v>
      </c>
      <c r="G272" s="10" t="inlineStr">
        <is>
          <t>D</t>
        </is>
      </c>
    </row>
    <row r="273">
      <c r="A273" s="5" t="inlineStr">
        <is>
          <t>Govinda Poddar</t>
        </is>
      </c>
      <c r="B273" s="7" t="inlineStr">
        <is>
          <t>All Rounder</t>
        </is>
      </c>
      <c r="C273" s="7" t="n"/>
      <c r="D273" s="5" t="inlineStr">
        <is>
          <t>India</t>
        </is>
      </c>
      <c r="E273" s="5" t="inlineStr">
        <is>
          <t>Odisha</t>
        </is>
      </c>
      <c r="F273" s="6" t="n">
        <v>0.5</v>
      </c>
      <c r="G273" s="7" t="inlineStr">
        <is>
          <t>D</t>
        </is>
      </c>
    </row>
    <row r="274">
      <c r="A274" s="8" t="inlineStr">
        <is>
          <t>Subhranshu Mishra</t>
        </is>
      </c>
      <c r="B274" s="10" t="inlineStr">
        <is>
          <t>Batsman</t>
        </is>
      </c>
      <c r="C274" s="10" t="n"/>
      <c r="D274" s="8" t="inlineStr">
        <is>
          <t>India</t>
        </is>
      </c>
      <c r="E274" s="8" t="inlineStr">
        <is>
          <t>Odisha</t>
        </is>
      </c>
      <c r="F274" s="9" t="n">
        <v>0.5</v>
      </c>
      <c r="G274" s="10" t="inlineStr">
        <is>
          <t>D</t>
        </is>
      </c>
    </row>
    <row r="275">
      <c r="A275" s="5" t="inlineStr">
        <is>
          <t>Avneesh Sudha</t>
        </is>
      </c>
      <c r="B275" s="7" t="inlineStr">
        <is>
          <t>Batsman</t>
        </is>
      </c>
      <c r="C275" s="7" t="n"/>
      <c r="D275" s="5" t="inlineStr">
        <is>
          <t>India</t>
        </is>
      </c>
      <c r="E275" s="5" t="inlineStr">
        <is>
          <t>Uttarakhand</t>
        </is>
      </c>
      <c r="F275" s="6" t="n">
        <v>0.5</v>
      </c>
      <c r="G275" s="7" t="inlineStr">
        <is>
          <t>D</t>
        </is>
      </c>
    </row>
    <row r="276">
      <c r="A276" s="8" t="inlineStr">
        <is>
          <t>Kunal Chandela</t>
        </is>
      </c>
      <c r="B276" s="10" t="inlineStr">
        <is>
          <t>Batsman</t>
        </is>
      </c>
      <c r="C276" s="10" t="n"/>
      <c r="D276" s="8" t="inlineStr">
        <is>
          <t>India</t>
        </is>
      </c>
      <c r="E276" s="8" t="inlineStr">
        <is>
          <t>Uttarakhand</t>
        </is>
      </c>
      <c r="F276" s="9" t="n">
        <v>0.5</v>
      </c>
      <c r="G276" s="10" t="inlineStr">
        <is>
          <t>D</t>
        </is>
      </c>
    </row>
    <row r="277">
      <c r="A277" s="5" t="inlineStr">
        <is>
          <t>Aryan Borah</t>
        </is>
      </c>
      <c r="B277" s="7" t="inlineStr">
        <is>
          <t>Batsman</t>
        </is>
      </c>
      <c r="C277" s="7" t="n"/>
      <c r="D277" s="5" t="inlineStr">
        <is>
          <t>India</t>
        </is>
      </c>
      <c r="E277" s="5" t="inlineStr">
        <is>
          <t>Assam</t>
        </is>
      </c>
      <c r="F277" s="6" t="n">
        <v>0.5</v>
      </c>
      <c r="G277" s="7" t="inlineStr">
        <is>
          <t>D</t>
        </is>
      </c>
    </row>
    <row r="278">
      <c r="A278" s="8" t="inlineStr">
        <is>
          <t>Denish Das</t>
        </is>
      </c>
      <c r="B278" s="10" t="inlineStr">
        <is>
          <t>Batsman</t>
        </is>
      </c>
      <c r="C278" s="10" t="n"/>
      <c r="D278" s="8" t="inlineStr">
        <is>
          <t>India</t>
        </is>
      </c>
      <c r="E278" s="8" t="inlineStr">
        <is>
          <t>Assam</t>
        </is>
      </c>
      <c r="F278" s="9" t="n">
        <v>0.5</v>
      </c>
      <c r="G278" s="10" t="inlineStr">
        <is>
          <t>D</t>
        </is>
      </c>
    </row>
    <row r="279">
      <c r="A279" s="5" t="inlineStr">
        <is>
          <t>Rahul Hazarika</t>
        </is>
      </c>
      <c r="B279" s="7" t="inlineStr">
        <is>
          <t>Batsman</t>
        </is>
      </c>
      <c r="C279" s="7" t="n"/>
      <c r="D279" s="5" t="inlineStr">
        <is>
          <t>India</t>
        </is>
      </c>
      <c r="E279" s="5" t="inlineStr">
        <is>
          <t>Assam</t>
        </is>
      </c>
      <c r="F279" s="6" t="n">
        <v>0.5</v>
      </c>
      <c r="G279" s="7" t="inlineStr">
        <is>
          <t>D</t>
        </is>
      </c>
    </row>
    <row r="280">
      <c r="A280" s="8" t="inlineStr">
        <is>
          <t>Sudip Chatterjee</t>
        </is>
      </c>
      <c r="B280" s="10" t="inlineStr">
        <is>
          <t>Batsman</t>
        </is>
      </c>
      <c r="C280" s="10" t="n"/>
      <c r="D280" s="8" t="inlineStr">
        <is>
          <t>India</t>
        </is>
      </c>
      <c r="E280" s="8" t="inlineStr">
        <is>
          <t>Bengal</t>
        </is>
      </c>
      <c r="F280" s="9" t="n">
        <v>0.5</v>
      </c>
      <c r="G280" s="10" t="inlineStr">
        <is>
          <t>D</t>
        </is>
      </c>
    </row>
    <row r="281">
      <c r="A281" s="5" t="inlineStr">
        <is>
          <t>Sudip Kumar Gharami</t>
        </is>
      </c>
      <c r="B281" s="7" t="inlineStr">
        <is>
          <t>Batsman</t>
        </is>
      </c>
      <c r="C281" s="7" t="n"/>
      <c r="D281" s="5" t="inlineStr">
        <is>
          <t>India</t>
        </is>
      </c>
      <c r="E281" s="5" t="inlineStr">
        <is>
          <t>Bengal</t>
        </is>
      </c>
      <c r="F281" s="6" t="n">
        <v>0.5</v>
      </c>
      <c r="G281" s="7" t="inlineStr">
        <is>
          <t>D</t>
        </is>
      </c>
    </row>
    <row r="282">
      <c r="A282" s="8" t="inlineStr">
        <is>
          <t>Abishek Porel</t>
        </is>
      </c>
      <c r="B282" s="10" t="inlineStr">
        <is>
          <t>Wicketkeeper</t>
        </is>
      </c>
      <c r="C282" s="10" t="n"/>
      <c r="D282" s="8" t="inlineStr">
        <is>
          <t>India</t>
        </is>
      </c>
      <c r="E282" s="8" t="inlineStr">
        <is>
          <t>Bengal</t>
        </is>
      </c>
      <c r="F282" s="9" t="n">
        <v>0.5</v>
      </c>
      <c r="G282" s="10" t="inlineStr">
        <is>
          <t>D</t>
        </is>
      </c>
    </row>
    <row r="283">
      <c r="A283" s="5" t="inlineStr">
        <is>
          <t>Mohammad Amir</t>
        </is>
      </c>
      <c r="B283" s="7" t="n"/>
      <c r="C283" s="7" t="n"/>
      <c r="D283" s="5" t="n"/>
      <c r="E283" s="5" t="n"/>
      <c r="F283" s="30" t="n"/>
      <c r="G283" s="7" t="n"/>
    </row>
    <row r="284">
      <c r="A284" s="8" t="inlineStr">
        <is>
          <t>Akhil</t>
        </is>
      </c>
      <c r="B284" s="10" t="n"/>
      <c r="C284" s="10" t="n"/>
      <c r="D284" s="8" t="n"/>
      <c r="E284" s="8" t="n"/>
      <c r="F284" s="31" t="n"/>
      <c r="G284" s="10" t="n"/>
    </row>
    <row r="285">
      <c r="A285" s="5" t="inlineStr">
        <is>
          <t>Abhishek Powel</t>
        </is>
      </c>
      <c r="B285" s="7" t="n"/>
      <c r="C285" s="7" t="n"/>
      <c r="D285" s="5" t="n"/>
      <c r="E285" s="5" t="n"/>
      <c r="F285" s="30" t="n"/>
      <c r="G285" s="7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2026-07-11T18:31:59Z</dcterms:created>
  <dcterms:modified xsi:type="dcterms:W3CDTF">2026-07-11T18:31:59Z</dcterms:modified>
</cp:coreProperties>
</file>